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kubokouakira/Desktop/遺伝的アルゴリズム_シフト表/GeneticAlgorithmShift/"/>
    </mc:Choice>
  </mc:AlternateContent>
  <xr:revisionPtr revIDLastSave="0" documentId="13_ncr:1_{A19F0B49-DFDA-9D43-8C5F-75F3E14AAB90}" xr6:coauthVersionLast="46" xr6:coauthVersionMax="46" xr10:uidLastSave="{00000000-0000-0000-0000-000000000000}"/>
  <bookViews>
    <workbookView xWindow="0" yWindow="500" windowWidth="28800" windowHeight="16340" activeTab="1" xr2:uid="{F1BE58C3-7BE5-5246-AEF9-A6462097F438}"/>
  </bookViews>
  <sheets>
    <sheet name="Sheet1" sheetId="1" r:id="rId1"/>
    <sheet name="最終シフト表" sheetId="3" r:id="rId2"/>
    <sheet name="new_Shift" sheetId="2" r:id="rId3"/>
  </sheets>
  <externalReferences>
    <externalReference r:id="rId4"/>
  </externalReferenc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15" i="3" l="1"/>
  <c r="AE15" i="3"/>
  <c r="AD15" i="3"/>
  <c r="AC15" i="3"/>
  <c r="AB15" i="3"/>
  <c r="AA15" i="3"/>
  <c r="Z15" i="3"/>
  <c r="Y15" i="3"/>
  <c r="X15" i="3"/>
  <c r="W15" i="3"/>
  <c r="V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C6" i="2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C16" i="3"/>
  <c r="B7" i="3"/>
  <c r="B8" i="3"/>
  <c r="B9" i="3"/>
  <c r="B10" i="3"/>
  <c r="B11" i="3"/>
  <c r="B12" i="3"/>
  <c r="B13" i="3"/>
  <c r="B14" i="3"/>
  <c r="B15" i="3"/>
  <c r="B6" i="3"/>
  <c r="F17" i="3"/>
  <c r="I17" i="3"/>
  <c r="R17" i="3"/>
  <c r="Z17" i="3"/>
  <c r="AD17" i="3"/>
  <c r="AG14" i="3"/>
  <c r="AG13" i="3"/>
  <c r="AG8" i="3"/>
  <c r="T17" i="3"/>
  <c r="N17" i="3"/>
  <c r="M17" i="3"/>
  <c r="L17" i="3"/>
  <c r="K17" i="3"/>
  <c r="J17" i="3"/>
  <c r="H17" i="3"/>
  <c r="E17" i="3"/>
  <c r="D17" i="3"/>
  <c r="C17" i="3"/>
  <c r="B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C16" i="2"/>
  <c r="B9" i="2"/>
  <c r="AG9" i="2"/>
  <c r="AG10" i="2"/>
  <c r="Q17" i="2"/>
  <c r="Y17" i="2"/>
  <c r="D17" i="2"/>
  <c r="L17" i="2"/>
  <c r="AB17" i="2"/>
  <c r="W17" i="2"/>
  <c r="AE17" i="2"/>
  <c r="B7" i="2"/>
  <c r="B8" i="2"/>
  <c r="B10" i="2"/>
  <c r="B11" i="2"/>
  <c r="B12" i="2"/>
  <c r="B13" i="2"/>
  <c r="B14" i="2"/>
  <c r="B15" i="2"/>
  <c r="AG7" i="1"/>
  <c r="AG8" i="1"/>
  <c r="AG9" i="1"/>
  <c r="AG10" i="1"/>
  <c r="AG11" i="1"/>
  <c r="AG12" i="1"/>
  <c r="AG13" i="1"/>
  <c r="AG14" i="1"/>
  <c r="AG15" i="1"/>
  <c r="AG6" i="1"/>
  <c r="C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D17" i="1"/>
  <c r="AF17" i="2" l="1"/>
  <c r="AG11" i="2"/>
  <c r="K17" i="2"/>
  <c r="H17" i="2"/>
  <c r="AG7" i="2"/>
  <c r="AG6" i="2"/>
  <c r="AD17" i="2"/>
  <c r="AA17" i="2"/>
  <c r="O17" i="2"/>
  <c r="AG13" i="2"/>
  <c r="I17" i="2"/>
  <c r="P17" i="2"/>
  <c r="V17" i="2"/>
  <c r="X17" i="2"/>
  <c r="F17" i="2"/>
  <c r="N17" i="2"/>
  <c r="AG15" i="2"/>
  <c r="T17" i="2"/>
  <c r="AG12" i="2"/>
  <c r="U17" i="3"/>
  <c r="AC17" i="3"/>
  <c r="AG10" i="3"/>
  <c r="U17" i="2"/>
  <c r="R17" i="2"/>
  <c r="AG9" i="3"/>
  <c r="V17" i="3"/>
  <c r="G17" i="3"/>
  <c r="O17" i="3"/>
  <c r="W17" i="3"/>
  <c r="AE17" i="3"/>
  <c r="AG7" i="3"/>
  <c r="E17" i="2"/>
  <c r="P17" i="3"/>
  <c r="X17" i="3"/>
  <c r="AF17" i="3"/>
  <c r="AG14" i="2"/>
  <c r="S17" i="2"/>
  <c r="Q17" i="3"/>
  <c r="Y17" i="3"/>
  <c r="AG15" i="3"/>
  <c r="M17" i="2"/>
  <c r="S17" i="3"/>
  <c r="AG12" i="3"/>
  <c r="AC17" i="2"/>
  <c r="Z17" i="2"/>
  <c r="AG8" i="2"/>
  <c r="AA17" i="3"/>
  <c r="C17" i="2"/>
  <c r="AB17" i="3"/>
  <c r="AG11" i="3"/>
  <c r="AG6" i="3"/>
  <c r="J17" i="2"/>
  <c r="G17" i="2"/>
</calcChain>
</file>

<file path=xl/sharedStrings.xml><?xml version="1.0" encoding="utf-8"?>
<sst xmlns="http://schemas.openxmlformats.org/spreadsheetml/2006/main" count="325" uniqueCount="29">
  <si>
    <t>名前</t>
    <rPh sb="0" eb="2">
      <t>ナマエ</t>
    </rPh>
    <phoneticPr fontId="1"/>
  </si>
  <si>
    <t>管理人</t>
    <rPh sb="0" eb="3">
      <t>カンリ</t>
    </rPh>
    <phoneticPr fontId="1"/>
  </si>
  <si>
    <t>火</t>
    <rPh sb="0" eb="1">
      <t>カ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</si>
  <si>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</si>
  <si>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</si>
  <si>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</si>
  <si>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</si>
  <si>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</si>
  <si>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</si>
  <si>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</si>
  <si>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</si>
  <si>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</si>
  <si>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</si>
  <si>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必要人数</t>
    <rPh sb="0" eb="4">
      <t>ヒツヨウ</t>
    </rPh>
    <phoneticPr fontId="1"/>
  </si>
  <si>
    <t>合計人数</t>
    <rPh sb="0" eb="2">
      <t>ゴウケイ</t>
    </rPh>
    <rPh sb="2" eb="4">
      <t>ニンズウ</t>
    </rPh>
    <phoneticPr fontId="1"/>
  </si>
  <si>
    <t>水</t>
    <rPh sb="0" eb="1">
      <t>スイ</t>
    </rPh>
    <phoneticPr fontId="1"/>
  </si>
  <si>
    <t>木</t>
    <rPh sb="0" eb="1">
      <t xml:space="preserve">キ </t>
    </rPh>
    <phoneticPr fontId="1"/>
  </si>
  <si>
    <t>木</t>
    <rPh sb="0" eb="1">
      <t>キ</t>
    </rPh>
    <phoneticPr fontId="1"/>
  </si>
  <si>
    <t>金</t>
    <rPh sb="0" eb="1">
      <t xml:space="preserve">キン </t>
    </rPh>
    <phoneticPr fontId="1"/>
  </si>
  <si>
    <t>金</t>
    <rPh sb="0" eb="1">
      <t>キn</t>
    </rPh>
    <phoneticPr fontId="1"/>
  </si>
  <si>
    <t>土</t>
    <rPh sb="0" eb="1">
      <t>ドヨウ</t>
    </rPh>
    <phoneticPr fontId="1"/>
  </si>
  <si>
    <t>土</t>
    <rPh sb="0" eb="1">
      <t>do</t>
    </rPh>
    <phoneticPr fontId="1"/>
  </si>
  <si>
    <t>日</t>
    <rPh sb="0" eb="1">
      <t>ニティ</t>
    </rPh>
    <phoneticPr fontId="1"/>
  </si>
  <si>
    <t>月</t>
    <rPh sb="0" eb="1">
      <t xml:space="preserve">ゲツ </t>
    </rPh>
    <phoneticPr fontId="1"/>
  </si>
  <si>
    <t>月</t>
    <rPh sb="0" eb="1">
      <t xml:space="preserve">ツキ </t>
    </rPh>
    <phoneticPr fontId="1"/>
  </si>
  <si>
    <t>◎</t>
  </si>
  <si>
    <t>○</t>
  </si>
  <si>
    <t>合計出勤日</t>
    <rPh sb="0" eb="2">
      <t>ゴウケイ</t>
    </rPh>
    <rPh sb="2" eb="5">
      <t>シュッキn</t>
    </rPh>
    <phoneticPr fontId="1"/>
  </si>
  <si>
    <t>希望合計出勤日</t>
    <rPh sb="0" eb="4">
      <t>キボウ</t>
    </rPh>
    <rPh sb="4" eb="7">
      <t>シュッキn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</si>
</sst>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" xfId="0" applyBorder="1" applyAlignment="1"/>
    <xf numFmtId="0" fontId="0" fillId="0" borderId="9" xfId="0" applyBorder="1" applyAlignment="1"/>
    <xf numFmtId="0" fontId="0" fillId="0" borderId="13" xfId="0" applyBorder="1">
      <alignment vertical="center"/>
    </xf>
  </cellXfs>
  <cellStyles count="1">
    <cellStyle name="標準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0</xdr:row>
      <xdr:rowOff>38100</xdr:rowOff>
    </xdr:from>
    <xdr:to>
      <xdr:col>9</xdr:col>
      <xdr:colOff>76200</xdr:colOff>
      <xdr:row>2</xdr:row>
      <xdr:rowOff>215900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3A3052D-7E09-B345-859A-073ACF73CDA3}"/>
            </a:ext>
          </a:extLst>
        </xdr:cNvPr>
        <xdr:cNvSpPr txBox="1"/>
      </xdr:nvSpPr>
      <xdr:spPr>
        <a:xfrm>
          <a:off x="101600" y="38100"/>
          <a:ext cx="4013200" cy="68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希望シフト表</a:t>
          </a:r>
          <a:endParaRPr kumimoji="1" lang="en-US" altLang="ja-JP" sz="1100"/>
        </a:p>
        <a:p>
          <a:r>
            <a:rPr kumimoji="1" lang="ja-JP" altLang="en-US" sz="1100"/>
            <a:t>◎</a:t>
          </a:r>
          <a:r>
            <a:rPr kumimoji="1" lang="en-US" altLang="ja-JP" sz="1100"/>
            <a:t>:</a:t>
          </a:r>
          <a:r>
            <a:rPr kumimoji="1" lang="ja-JP" altLang="en-US" sz="1100"/>
            <a:t>締め作業ができる人</a:t>
          </a:r>
          <a:r>
            <a:rPr kumimoji="1" lang="en-US" altLang="ja-JP" sz="1100"/>
            <a:t>	</a:t>
          </a:r>
          <a:r>
            <a:rPr kumimoji="1" lang="ja-JP" altLang="en-US" sz="1100"/>
            <a:t>○</a:t>
          </a:r>
          <a:r>
            <a:rPr kumimoji="1" lang="en-US" altLang="ja-JP" sz="1100"/>
            <a:t>:</a:t>
          </a:r>
          <a:r>
            <a:rPr kumimoji="1" lang="ja-JP" altLang="en-US" sz="1100"/>
            <a:t>出勤可能な日</a:t>
          </a:r>
        </a:p>
      </xdr:txBody>
    </xdr:sp>
    <xdr:clientData/>
  </xdr:twoCellAnchor>
  <xdr:twoCellAnchor>
    <xdr:from>
      <xdr:col>33</xdr:col>
      <xdr:colOff>508000</xdr:colOff>
      <xdr:row>2</xdr:row>
      <xdr:rowOff>25400</xdr:rowOff>
    </xdr:from>
    <xdr:to>
      <xdr:col>37</xdr:col>
      <xdr:colOff>342900</xdr:colOff>
      <xdr:row>24</xdr:row>
      <xdr:rowOff>50800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C246411A-067C-1740-AA79-5B3A080D5925}"/>
            </a:ext>
          </a:extLst>
        </xdr:cNvPr>
        <xdr:cNvSpPr txBox="1"/>
      </xdr:nvSpPr>
      <xdr:spPr>
        <a:xfrm>
          <a:off x="12395200" y="533400"/>
          <a:ext cx="3644900" cy="561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説明</a:t>
          </a:r>
          <a:endParaRPr kumimoji="1" lang="en-US" altLang="ja-JP" sz="1100"/>
        </a:p>
        <a:p>
          <a:r>
            <a:rPr kumimoji="1" lang="ja-JP" altLang="en-US" sz="1100"/>
            <a:t>初めにやること</a:t>
          </a:r>
          <a:endParaRPr kumimoji="1" lang="en-US" altLang="ja-JP" sz="1100"/>
        </a:p>
        <a:p>
          <a:r>
            <a:rPr kumimoji="1" lang="ja-JP" altLang="en-US" sz="1100"/>
            <a:t>・名前には従業員の名前を書いてください。（あだ名でも</a:t>
          </a:r>
          <a:r>
            <a:rPr kumimoji="1" lang="en-US" altLang="ja-JP" sz="1100"/>
            <a:t>OK</a:t>
          </a:r>
          <a:r>
            <a:rPr kumimoji="1" lang="ja-JP" altLang="en-US" sz="1100"/>
            <a:t>）←従業員数を追加したら教えてください。</a:t>
          </a:r>
          <a:endParaRPr kumimoji="1" lang="en-US" altLang="ja-JP" sz="1100"/>
        </a:p>
        <a:p>
          <a:r>
            <a:rPr kumimoji="1" lang="ja-JP" altLang="en-US" sz="1100"/>
            <a:t>・管理人には締め作業できる人のところに◎をつけてください。（キッチンとレジ作業を閉めれる人）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シフト調整する時にやること（ここがメイン）</a:t>
          </a:r>
          <a:endParaRPr kumimoji="1" lang="en-US" altLang="ja-JP" sz="1100"/>
        </a:p>
        <a:p>
          <a:r>
            <a:rPr kumimoji="1" lang="en-US" altLang="ja-JP" sz="1100"/>
            <a:t>1.</a:t>
          </a:r>
          <a:r>
            <a:rPr kumimoji="1" lang="ja-JP" altLang="en-US" sz="1100"/>
            <a:t>みんなから集めたシフトで入れるここところに○をつけてください</a:t>
          </a:r>
          <a:endParaRPr kumimoji="1" lang="en-US" altLang="ja-JP" sz="1100"/>
        </a:p>
        <a:p>
          <a:r>
            <a:rPr kumimoji="1" lang="en-US" altLang="ja-JP" sz="1100"/>
            <a:t>2.</a:t>
          </a:r>
          <a:r>
            <a:rPr kumimoji="1" lang="ja-JP" altLang="en-US" sz="1100"/>
            <a:t>その日の必要人数を書いてください。</a:t>
          </a:r>
          <a:endParaRPr kumimoji="1" lang="en-US" altLang="ja-JP" sz="1100"/>
        </a:p>
        <a:p>
          <a:r>
            <a:rPr kumimoji="1" lang="en-US" altLang="ja-JP" sz="1100"/>
            <a:t>3. 1</a:t>
          </a:r>
          <a:r>
            <a:rPr kumimoji="1" lang="ja-JP" altLang="en-US" sz="1100"/>
            <a:t>と</a:t>
          </a:r>
          <a:r>
            <a:rPr kumimoji="1" lang="en-US" altLang="ja-JP" sz="1100"/>
            <a:t>2</a:t>
          </a:r>
          <a:r>
            <a:rPr kumimoji="1" lang="ja-JP" altLang="en-US" sz="1100"/>
            <a:t>の作業が終わってからターミナルで</a:t>
          </a:r>
          <a:r>
            <a:rPr kumimoji="1" lang="en-US" altLang="ja-JP" sz="1100"/>
            <a:t>(python main.py)</a:t>
          </a:r>
          <a:r>
            <a:rPr kumimoji="1" lang="ja-JP" altLang="en-US" sz="1100"/>
            <a:t>をしてください。</a:t>
          </a:r>
          <a:endParaRPr kumimoji="1" lang="en-US" altLang="ja-JP" sz="1100"/>
        </a:p>
        <a:p>
          <a:r>
            <a:rPr kumimoji="1" lang="en-US" altLang="ja-JP" sz="1100"/>
            <a:t>4.new_Shift</a:t>
          </a:r>
          <a:r>
            <a:rPr kumimoji="1" lang="ja-JP" altLang="en-US" sz="1100"/>
            <a:t>シートに反映されます。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最終的なシフト表</a:t>
          </a:r>
          <a:endParaRPr kumimoji="1" lang="en-US" altLang="ja-JP" sz="1100"/>
        </a:p>
        <a:p>
          <a:r>
            <a:rPr kumimoji="1" lang="en-US" altLang="ja-JP" sz="1100"/>
            <a:t>1.</a:t>
          </a:r>
          <a:r>
            <a:rPr kumimoji="1" lang="ja-JP" altLang="en-US" sz="1100"/>
            <a:t>「やり直し」ボタンを押してください。反映された結果がシートに移ります。</a:t>
          </a:r>
          <a:endParaRPr kumimoji="1" lang="en-US" altLang="ja-JP" sz="1100"/>
        </a:p>
        <a:p>
          <a:r>
            <a:rPr kumimoji="1" lang="en-US" altLang="ja-JP" sz="1100"/>
            <a:t>2.</a:t>
          </a:r>
          <a:r>
            <a:rPr kumimoji="1" lang="ja-JP" altLang="en-US" sz="1100"/>
            <a:t>マークによって意味が異なります。</a:t>
          </a:r>
          <a:endParaRPr kumimoji="1" lang="en-US" altLang="ja-JP" sz="1100"/>
        </a:p>
        <a:p>
          <a:r>
            <a:rPr kumimoji="1" lang="ja-JP" altLang="en-US" sz="1100"/>
            <a:t>　黄色のマーク：出勤日</a:t>
          </a:r>
          <a:endParaRPr kumimoji="1" lang="en-US" altLang="ja-JP" sz="1100"/>
        </a:p>
        <a:p>
          <a:r>
            <a:rPr kumimoji="1" lang="ja-JP" altLang="en-US" sz="1100"/>
            <a:t>　緑色マーク：出勤可能な日</a:t>
          </a:r>
          <a:endParaRPr kumimoji="1" lang="en-US" altLang="ja-JP" sz="1100"/>
        </a:p>
        <a:p>
          <a:r>
            <a:rPr kumimoji="1" lang="ja-JP" altLang="en-US" sz="1100"/>
            <a:t>　赤色マーク：合計人数と必要人数があってない</a:t>
          </a:r>
          <a:endParaRPr kumimoji="1" lang="en-US" altLang="ja-JP" sz="1100"/>
        </a:p>
        <a:p>
          <a:r>
            <a:rPr kumimoji="1" lang="en-US" altLang="ja-JP" sz="1100"/>
            <a:t>3.</a:t>
          </a:r>
          <a:r>
            <a:rPr kumimoji="1" lang="ja-JP" altLang="en-US" sz="1100"/>
            <a:t>自分調整して失敗した時は「やり直しボタン」を押してください。</a:t>
          </a:r>
          <a:endParaRPr kumimoji="1" lang="en-US" altLang="ja-JP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0</xdr:row>
      <xdr:rowOff>12700</xdr:rowOff>
    </xdr:from>
    <xdr:to>
      <xdr:col>9</xdr:col>
      <xdr:colOff>190500</xdr:colOff>
      <xdr:row>2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35F1576-60C9-364C-9CE0-2791C70EE9F1}"/>
            </a:ext>
          </a:extLst>
        </xdr:cNvPr>
        <xdr:cNvSpPr txBox="1"/>
      </xdr:nvSpPr>
      <xdr:spPr>
        <a:xfrm>
          <a:off x="215900" y="12700"/>
          <a:ext cx="3352800" cy="68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最終決定シフト表</a:t>
          </a:r>
          <a:endParaRPr kumimoji="1" lang="en-US" altLang="ja-JP" sz="1100"/>
        </a:p>
        <a:p>
          <a:r>
            <a:rPr kumimoji="1" lang="ja-JP" altLang="en-US" sz="1100"/>
            <a:t>◎</a:t>
          </a:r>
          <a:r>
            <a:rPr kumimoji="1" lang="en-US" altLang="ja-JP" sz="1100"/>
            <a:t>:</a:t>
          </a:r>
          <a:r>
            <a:rPr kumimoji="1" lang="ja-JP" altLang="en-US" sz="1100"/>
            <a:t>締め作業ができる人</a:t>
          </a:r>
          <a:r>
            <a:rPr kumimoji="1" lang="en-US" altLang="ja-JP" sz="1100"/>
            <a:t>	</a:t>
          </a:r>
          <a:r>
            <a:rPr kumimoji="1" lang="ja-JP" altLang="en-US" sz="1100"/>
            <a:t>○</a:t>
          </a:r>
          <a:r>
            <a:rPr kumimoji="1" lang="en-US" altLang="ja-JP" sz="1100"/>
            <a:t>:</a:t>
          </a:r>
          <a:r>
            <a:rPr kumimoji="1" lang="ja-JP" altLang="en-US" sz="1100"/>
            <a:t>出勤日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241300</xdr:colOff>
          <xdr:row>1</xdr:row>
          <xdr:rowOff>0</xdr:rowOff>
        </xdr:from>
        <xdr:to>
          <xdr:col>20</xdr:col>
          <xdr:colOff>241300</xdr:colOff>
          <xdr:row>2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ABC2D017-BB65-DB4A-A38B-9D3B2EA12C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やり直す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508000</xdr:colOff>
      <xdr:row>2</xdr:row>
      <xdr:rowOff>203200</xdr:rowOff>
    </xdr:from>
    <xdr:to>
      <xdr:col>37</xdr:col>
      <xdr:colOff>88900</xdr:colOff>
      <xdr:row>16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82615641-AB76-8C49-92AE-A6061FFB45BE}"/>
            </a:ext>
          </a:extLst>
        </xdr:cNvPr>
        <xdr:cNvSpPr txBox="1"/>
      </xdr:nvSpPr>
      <xdr:spPr>
        <a:xfrm>
          <a:off x="12115800" y="711200"/>
          <a:ext cx="3390900" cy="3543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最終的なシフト表の使い方</a:t>
          </a:r>
          <a:endParaRPr kumimoji="1" lang="en-US" altLang="ja-JP" sz="1100"/>
        </a:p>
        <a:p>
          <a:r>
            <a:rPr kumimoji="1" lang="en-US" altLang="ja-JP" sz="1100"/>
            <a:t>1.</a:t>
          </a:r>
          <a:r>
            <a:rPr kumimoji="1" lang="ja-JP" altLang="en-US" sz="1100"/>
            <a:t>「やり直し」ボタンを押してください。反映された結果がシートに移ります。</a:t>
          </a:r>
          <a:endParaRPr kumimoji="1" lang="en-US" altLang="ja-JP" sz="1100"/>
        </a:p>
        <a:p>
          <a:r>
            <a:rPr kumimoji="1" lang="en-US" altLang="ja-JP" sz="1100"/>
            <a:t>2.</a:t>
          </a:r>
          <a:r>
            <a:rPr kumimoji="1" lang="ja-JP" altLang="en-US" sz="1100"/>
            <a:t>マークによって意味が異なります。</a:t>
          </a:r>
          <a:endParaRPr kumimoji="1" lang="en-US" altLang="ja-JP" sz="1100"/>
        </a:p>
        <a:p>
          <a:r>
            <a:rPr kumimoji="1" lang="ja-JP" altLang="en-US" sz="1100"/>
            <a:t>　黄色のマーク：出勤日</a:t>
          </a:r>
          <a:endParaRPr kumimoji="1" lang="en-US" altLang="ja-JP" sz="1100"/>
        </a:p>
        <a:p>
          <a:r>
            <a:rPr kumimoji="1" lang="ja-JP" altLang="en-US" sz="1100"/>
            <a:t>　緑色マーク：出勤可能な日</a:t>
          </a:r>
          <a:endParaRPr kumimoji="1" lang="en-US" altLang="ja-JP" sz="1100"/>
        </a:p>
        <a:p>
          <a:r>
            <a:rPr kumimoji="1" lang="ja-JP" altLang="en-US" sz="1100"/>
            <a:t>　赤色マーク：合計人数と必要人数があってない</a:t>
          </a:r>
          <a:endParaRPr kumimoji="1" lang="en-US" altLang="ja-JP" sz="1100"/>
        </a:p>
        <a:p>
          <a:r>
            <a:rPr kumimoji="1" lang="en-US" altLang="ja-JP" sz="1100"/>
            <a:t>3.</a:t>
          </a:r>
          <a:r>
            <a:rPr kumimoji="1" lang="ja-JP" altLang="en-US" sz="1100"/>
            <a:t>自分調整して計算後に戻したい時は「やり直しボタン」を押してください。</a:t>
          </a:r>
          <a:endParaRPr kumimoji="1" lang="en-US" altLang="ja-JP" sz="1100"/>
        </a:p>
        <a:p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139700</xdr:colOff>
      <xdr:row>0</xdr:row>
      <xdr:rowOff>50800</xdr:rowOff>
    </xdr:from>
    <xdr:to>
      <xdr:col>8</xdr:col>
      <xdr:colOff>76200</xdr:colOff>
      <xdr:row>2</xdr:row>
      <xdr:rowOff>228600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38CF21A-7CBF-9C40-90C6-87F1542D2346}"/>
            </a:ext>
          </a:extLst>
        </xdr:cNvPr>
        <xdr:cNvSpPr txBox="1"/>
      </xdr:nvSpPr>
      <xdr:spPr>
        <a:xfrm>
          <a:off x="139700" y="50800"/>
          <a:ext cx="3352800" cy="68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組合せ最適化シフト表</a:t>
          </a:r>
          <a:endParaRPr kumimoji="1" lang="en-US" altLang="ja-JP" sz="1100"/>
        </a:p>
        <a:p>
          <a:r>
            <a:rPr kumimoji="1" lang="ja-JP" altLang="en-US" sz="1100"/>
            <a:t>◎</a:t>
          </a:r>
          <a:r>
            <a:rPr kumimoji="1" lang="en-US" altLang="ja-JP" sz="1100"/>
            <a:t>:</a:t>
          </a:r>
          <a:r>
            <a:rPr kumimoji="1" lang="ja-JP" altLang="en-US" sz="1100"/>
            <a:t>締め作業ができる人</a:t>
          </a:r>
          <a:r>
            <a:rPr kumimoji="1" lang="en-US" altLang="ja-JP" sz="1100"/>
            <a:t>	</a:t>
          </a:r>
          <a:r>
            <a:rPr kumimoji="1" lang="ja-JP" altLang="en-US" sz="1100"/>
            <a:t>○</a:t>
          </a:r>
          <a:r>
            <a:rPr kumimoji="1" lang="en-US" altLang="ja-JP" sz="1100"/>
            <a:t>:</a:t>
          </a:r>
          <a:r>
            <a:rPr kumimoji="1" lang="ja-JP" altLang="en-US" sz="1100"/>
            <a:t>出勤日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Shift"/>
    </sheetNames>
    <sheetDataSet>
      <sheetData sheetId="0">
        <row r="2">
          <cell r="B2">
            <v>0</v>
          </cell>
          <cell r="C2">
            <v>0</v>
          </cell>
          <cell r="D2">
            <v>0</v>
          </cell>
          <cell r="E2" t="str">
            <v>○</v>
          </cell>
          <cell r="F2">
            <v>0</v>
          </cell>
          <cell r="G2">
            <v>0</v>
          </cell>
          <cell r="H2" t="str">
            <v>○</v>
          </cell>
          <cell r="I2">
            <v>0</v>
          </cell>
          <cell r="J2">
            <v>0</v>
          </cell>
          <cell r="K2" t="str">
            <v>○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 t="str">
            <v>○</v>
          </cell>
          <cell r="R2">
            <v>0</v>
          </cell>
          <cell r="S2">
            <v>0</v>
          </cell>
          <cell r="T2" t="str">
            <v>○</v>
          </cell>
          <cell r="U2">
            <v>0</v>
          </cell>
          <cell r="V2" t="str">
            <v>○</v>
          </cell>
          <cell r="W2" t="str">
            <v>○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 t="str">
            <v>○</v>
          </cell>
          <cell r="AE2" t="str">
            <v>○</v>
          </cell>
        </row>
        <row r="3">
          <cell r="B3" t="str">
            <v>○</v>
          </cell>
          <cell r="C3">
            <v>0</v>
          </cell>
          <cell r="D3" t="str">
            <v>○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 t="str">
            <v>○</v>
          </cell>
          <cell r="J3" t="str">
            <v>○</v>
          </cell>
          <cell r="K3">
            <v>0</v>
          </cell>
          <cell r="L3">
            <v>0</v>
          </cell>
          <cell r="M3">
            <v>0</v>
          </cell>
          <cell r="N3" t="str">
            <v>○</v>
          </cell>
          <cell r="O3" t="str">
            <v>○</v>
          </cell>
          <cell r="P3" t="str">
            <v>○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 t="str">
            <v>○</v>
          </cell>
          <cell r="AB3">
            <v>0</v>
          </cell>
          <cell r="AC3" t="str">
            <v>○</v>
          </cell>
          <cell r="AD3">
            <v>0</v>
          </cell>
          <cell r="AE3">
            <v>0</v>
          </cell>
        </row>
        <row r="4">
          <cell r="B4">
            <v>0</v>
          </cell>
          <cell r="C4" t="str">
            <v>○</v>
          </cell>
          <cell r="D4">
            <v>0</v>
          </cell>
          <cell r="E4">
            <v>0</v>
          </cell>
          <cell r="F4" t="str">
            <v>○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 t="str">
            <v>○</v>
          </cell>
          <cell r="S4" t="str">
            <v>○</v>
          </cell>
          <cell r="T4">
            <v>0</v>
          </cell>
          <cell r="U4" t="str">
            <v>○</v>
          </cell>
          <cell r="V4">
            <v>0</v>
          </cell>
          <cell r="W4">
            <v>0</v>
          </cell>
          <cell r="X4" t="str">
            <v>○</v>
          </cell>
          <cell r="Y4" t="str">
            <v>○</v>
          </cell>
          <cell r="Z4" t="str">
            <v>○</v>
          </cell>
          <cell r="AA4">
            <v>0</v>
          </cell>
          <cell r="AB4" t="str">
            <v>○</v>
          </cell>
          <cell r="AC4">
            <v>0</v>
          </cell>
          <cell r="AD4">
            <v>0</v>
          </cell>
          <cell r="AE4">
            <v>0</v>
          </cell>
        </row>
        <row r="5">
          <cell r="B5" t="str">
            <v>○</v>
          </cell>
          <cell r="C5">
            <v>0</v>
          </cell>
          <cell r="D5" t="str">
            <v>○</v>
          </cell>
          <cell r="E5" t="str">
            <v>○</v>
          </cell>
          <cell r="F5">
            <v>0</v>
          </cell>
          <cell r="G5" t="str">
            <v>○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 t="str">
            <v>○</v>
          </cell>
          <cell r="AE5">
            <v>0</v>
          </cell>
        </row>
        <row r="6">
          <cell r="B6">
            <v>0</v>
          </cell>
          <cell r="C6" t="str">
            <v>○</v>
          </cell>
          <cell r="D6">
            <v>0</v>
          </cell>
          <cell r="E6">
            <v>0</v>
          </cell>
          <cell r="F6" t="str">
            <v>○</v>
          </cell>
          <cell r="G6" t="str">
            <v>○</v>
          </cell>
          <cell r="H6">
            <v>0</v>
          </cell>
          <cell r="I6">
            <v>0</v>
          </cell>
          <cell r="J6" t="str">
            <v>○</v>
          </cell>
          <cell r="K6">
            <v>0</v>
          </cell>
          <cell r="L6">
            <v>0</v>
          </cell>
          <cell r="M6" t="str">
            <v>○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 t="str">
            <v>○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 t="str">
            <v>○</v>
          </cell>
          <cell r="Y6" t="str">
            <v>○</v>
          </cell>
          <cell r="Z6">
            <v>0</v>
          </cell>
          <cell r="AA6">
            <v>0</v>
          </cell>
          <cell r="AB6" t="str">
            <v>○</v>
          </cell>
          <cell r="AC6">
            <v>0</v>
          </cell>
          <cell r="AD6">
            <v>0</v>
          </cell>
          <cell r="AE6">
            <v>0</v>
          </cell>
        </row>
        <row r="7">
          <cell r="B7">
            <v>0</v>
          </cell>
          <cell r="C7">
            <v>0</v>
          </cell>
          <cell r="D7" t="str">
            <v>○</v>
          </cell>
          <cell r="E7">
            <v>0</v>
          </cell>
          <cell r="F7">
            <v>0</v>
          </cell>
          <cell r="G7" t="str">
            <v>○</v>
          </cell>
          <cell r="H7" t="str">
            <v>○</v>
          </cell>
          <cell r="I7" t="str">
            <v>○</v>
          </cell>
          <cell r="J7">
            <v>0</v>
          </cell>
          <cell r="K7">
            <v>0</v>
          </cell>
          <cell r="L7" t="str">
            <v>○</v>
          </cell>
          <cell r="M7">
            <v>0</v>
          </cell>
          <cell r="N7" t="str">
            <v>○</v>
          </cell>
          <cell r="O7">
            <v>0</v>
          </cell>
          <cell r="P7" t="str">
            <v>○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 t="str">
            <v>○</v>
          </cell>
          <cell r="W7" t="str">
            <v>○</v>
          </cell>
          <cell r="X7">
            <v>0</v>
          </cell>
          <cell r="Y7" t="str">
            <v>○</v>
          </cell>
          <cell r="Z7" t="str">
            <v>○</v>
          </cell>
          <cell r="AA7" t="str">
            <v>○</v>
          </cell>
          <cell r="AB7">
            <v>0</v>
          </cell>
          <cell r="AC7">
            <v>0</v>
          </cell>
          <cell r="AD7" t="str">
            <v>○</v>
          </cell>
          <cell r="AE7">
            <v>0</v>
          </cell>
        </row>
        <row r="8">
          <cell r="B8">
            <v>0</v>
          </cell>
          <cell r="C8" t="str">
            <v>○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 t="str">
            <v>○</v>
          </cell>
          <cell r="R8" t="str">
            <v>○</v>
          </cell>
          <cell r="S8">
            <v>0</v>
          </cell>
          <cell r="T8">
            <v>0</v>
          </cell>
          <cell r="U8" t="str">
            <v>○</v>
          </cell>
          <cell r="V8">
            <v>0</v>
          </cell>
          <cell r="W8" t="str">
            <v>○</v>
          </cell>
          <cell r="X8" t="str">
            <v>○</v>
          </cell>
          <cell r="Y8">
            <v>0</v>
          </cell>
          <cell r="Z8" t="str">
            <v>○</v>
          </cell>
          <cell r="AA8" t="str">
            <v>○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</row>
        <row r="9"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 t="str">
            <v>○</v>
          </cell>
          <cell r="J9">
            <v>0</v>
          </cell>
          <cell r="K9">
            <v>0</v>
          </cell>
          <cell r="L9" t="str">
            <v>○</v>
          </cell>
          <cell r="M9">
            <v>0</v>
          </cell>
          <cell r="N9">
            <v>0</v>
          </cell>
          <cell r="O9" t="str">
            <v>○</v>
          </cell>
          <cell r="P9">
            <v>0</v>
          </cell>
          <cell r="Q9">
            <v>0</v>
          </cell>
          <cell r="R9" t="str">
            <v>○</v>
          </cell>
          <cell r="S9">
            <v>0</v>
          </cell>
          <cell r="T9">
            <v>0</v>
          </cell>
          <cell r="U9" t="str">
            <v>○</v>
          </cell>
          <cell r="V9" t="str">
            <v>○</v>
          </cell>
          <cell r="W9">
            <v>0</v>
          </cell>
          <cell r="X9">
            <v>0</v>
          </cell>
          <cell r="Y9">
            <v>0</v>
          </cell>
          <cell r="Z9" t="str">
            <v>○</v>
          </cell>
          <cell r="AA9" t="str">
            <v>○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</row>
        <row r="10"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 t="str">
            <v>○</v>
          </cell>
          <cell r="G10">
            <v>0</v>
          </cell>
          <cell r="H10">
            <v>0</v>
          </cell>
          <cell r="I10">
            <v>0</v>
          </cell>
          <cell r="J10" t="str">
            <v>○</v>
          </cell>
          <cell r="K10">
            <v>0</v>
          </cell>
          <cell r="L10">
            <v>0</v>
          </cell>
          <cell r="M10" t="str">
            <v>○</v>
          </cell>
          <cell r="N10">
            <v>0</v>
          </cell>
          <cell r="O10">
            <v>0</v>
          </cell>
          <cell r="P10" t="str">
            <v>○</v>
          </cell>
          <cell r="Q10">
            <v>0</v>
          </cell>
          <cell r="R10">
            <v>0</v>
          </cell>
          <cell r="S10" t="str">
            <v>○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 t="str">
            <v>○</v>
          </cell>
          <cell r="Y10" t="str">
            <v>○</v>
          </cell>
          <cell r="Z10">
            <v>0</v>
          </cell>
          <cell r="AA10">
            <v>0</v>
          </cell>
          <cell r="AB10">
            <v>0</v>
          </cell>
          <cell r="AC10" t="str">
            <v>○</v>
          </cell>
          <cell r="AD10">
            <v>0</v>
          </cell>
          <cell r="AE10" t="str">
            <v>○</v>
          </cell>
        </row>
        <row r="11"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 t="str">
            <v>○</v>
          </cell>
          <cell r="L11">
            <v>0</v>
          </cell>
          <cell r="M11">
            <v>0</v>
          </cell>
          <cell r="N11">
            <v>0</v>
          </cell>
          <cell r="O11" t="str">
            <v>○</v>
          </cell>
          <cell r="P11">
            <v>0</v>
          </cell>
          <cell r="Q11">
            <v>0</v>
          </cell>
          <cell r="R11" t="str">
            <v>○</v>
          </cell>
          <cell r="S11" t="str">
            <v>○</v>
          </cell>
          <cell r="T11" t="str">
            <v>○</v>
          </cell>
          <cell r="U11" t="str">
            <v>○</v>
          </cell>
          <cell r="V11" t="str">
            <v>○</v>
          </cell>
          <cell r="W11" t="str">
            <v>○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 t="str">
            <v>○</v>
          </cell>
          <cell r="AC11" t="str">
            <v>○</v>
          </cell>
          <cell r="AD11">
            <v>0</v>
          </cell>
          <cell r="AE11" t="str">
            <v>○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97A21-5F27-4349-AD83-51FD6E3C71BF}">
  <sheetPr codeName="Sheet1"/>
  <dimension ref="A4:AH18"/>
  <sheetViews>
    <sheetView workbookViewId="0">
      <selection activeCell="C6" sqref="C6:AF15"/>
    </sheetView>
  </sheetViews>
  <sheetFormatPr baseColWidth="10" defaultRowHeight="20"/>
  <cols>
    <col min="1" max="1" width="5.140625" bestFit="1" customWidth="1"/>
    <col min="2" max="2" width="8.5703125" bestFit="1" customWidth="1"/>
    <col min="3" max="3" width="3.7109375" bestFit="1" customWidth="1"/>
    <col min="4" max="11" width="3.42578125" bestFit="1" customWidth="1"/>
    <col min="12" max="17" width="3.7109375" bestFit="1" customWidth="1"/>
    <col min="18" max="20" width="2.7109375" bestFit="1" customWidth="1"/>
    <col min="21" max="32" width="3.7109375" bestFit="1" customWidth="1"/>
    <col min="33" max="33" width="13.85546875" bestFit="1" customWidth="1"/>
  </cols>
  <sheetData>
    <row r="4" spans="1:34">
      <c r="A4" s="11" t="s">
        <v>0</v>
      </c>
      <c r="B4" s="3" t="s">
        <v>1</v>
      </c>
      <c r="C4" s="9" t="s">
        <v>2</v>
      </c>
      <c r="D4" s="10" t="s">
        <v>2</v>
      </c>
      <c r="E4" s="10" t="s">
        <v>15</v>
      </c>
      <c r="F4" s="10" t="s">
        <v>15</v>
      </c>
      <c r="G4" s="10" t="s">
        <v>16</v>
      </c>
      <c r="H4" s="10" t="s">
        <v>17</v>
      </c>
      <c r="I4" s="10" t="s">
        <v>18</v>
      </c>
      <c r="J4" s="10" t="s">
        <v>19</v>
      </c>
      <c r="K4" s="10" t="s">
        <v>20</v>
      </c>
      <c r="L4" s="10" t="s">
        <v>21</v>
      </c>
      <c r="M4" s="10" t="s">
        <v>22</v>
      </c>
      <c r="N4" s="10" t="s">
        <v>22</v>
      </c>
      <c r="O4" s="10" t="s">
        <v>23</v>
      </c>
      <c r="P4" s="10" t="s">
        <v>24</v>
      </c>
      <c r="Q4" s="10" t="s">
        <v>2</v>
      </c>
      <c r="R4" s="10" t="s">
        <v>2</v>
      </c>
      <c r="S4" s="10" t="s">
        <v>15</v>
      </c>
      <c r="T4" s="10" t="s">
        <v>15</v>
      </c>
      <c r="U4" s="10" t="s">
        <v>16</v>
      </c>
      <c r="V4" s="10" t="s">
        <v>17</v>
      </c>
      <c r="W4" s="10" t="s">
        <v>18</v>
      </c>
      <c r="X4" s="10" t="s">
        <v>19</v>
      </c>
      <c r="Y4" s="10" t="s">
        <v>20</v>
      </c>
      <c r="Z4" s="10" t="s">
        <v>21</v>
      </c>
      <c r="AA4" s="10" t="s">
        <v>22</v>
      </c>
      <c r="AB4" s="10" t="s">
        <v>22</v>
      </c>
      <c r="AC4" s="10" t="s">
        <v>23</v>
      </c>
      <c r="AD4" s="10" t="s">
        <v>24</v>
      </c>
      <c r="AE4" s="10" t="s">
        <v>2</v>
      </c>
      <c r="AF4" s="10" t="s">
        <v>2</v>
      </c>
      <c r="AG4" s="3" t="s">
        <v>28</v>
      </c>
    </row>
    <row r="5" spans="1:34">
      <c r="A5" s="12"/>
      <c r="B5" s="8"/>
      <c r="C5" s="9">
        <v>1</v>
      </c>
      <c r="D5" s="10">
        <v>2</v>
      </c>
      <c r="E5" s="10">
        <v>3</v>
      </c>
      <c r="F5" s="10">
        <v>4</v>
      </c>
      <c r="G5" s="10">
        <v>5</v>
      </c>
      <c r="H5" s="10">
        <v>6</v>
      </c>
      <c r="I5" s="10">
        <v>7</v>
      </c>
      <c r="J5" s="10">
        <v>8</v>
      </c>
      <c r="K5" s="10">
        <v>9</v>
      </c>
      <c r="L5" s="10">
        <v>10</v>
      </c>
      <c r="M5" s="10">
        <v>11</v>
      </c>
      <c r="N5" s="10">
        <v>12</v>
      </c>
      <c r="O5" s="10">
        <v>13</v>
      </c>
      <c r="P5" s="10">
        <v>14</v>
      </c>
      <c r="Q5" s="10">
        <v>15</v>
      </c>
      <c r="R5" s="10">
        <v>16</v>
      </c>
      <c r="S5" s="10">
        <v>17</v>
      </c>
      <c r="T5" s="10">
        <v>18</v>
      </c>
      <c r="U5" s="10">
        <v>19</v>
      </c>
      <c r="V5" s="10">
        <v>20</v>
      </c>
      <c r="W5" s="10">
        <v>21</v>
      </c>
      <c r="X5" s="10">
        <v>22</v>
      </c>
      <c r="Y5" s="10">
        <v>23</v>
      </c>
      <c r="Z5" s="10">
        <v>24</v>
      </c>
      <c r="AA5" s="10">
        <v>25</v>
      </c>
      <c r="AB5" s="10">
        <v>26</v>
      </c>
      <c r="AC5" s="10">
        <v>27</v>
      </c>
      <c r="AD5" s="10">
        <v>28</v>
      </c>
      <c r="AE5" s="10">
        <v>29</v>
      </c>
      <c r="AF5" s="10">
        <v>30</v>
      </c>
      <c r="AG5" s="8"/>
    </row>
    <row r="6" spans="1:34">
      <c r="A6" s="12" t="s">
        <v>3</v>
      </c>
      <c r="B6" s="10" t="s">
        <v>25</v>
      </c>
      <c r="C6" s="10" t="s">
        <v>26</v>
      </c>
      <c r="D6" s="10" t="s">
        <v>26</v>
      </c>
      <c r="E6" s="10"/>
      <c r="F6" s="10" t="s">
        <v>26</v>
      </c>
      <c r="G6" s="10" t="s">
        <v>26</v>
      </c>
      <c r="H6" s="10"/>
      <c r="I6" s="10" t="s">
        <v>26</v>
      </c>
      <c r="J6" s="10"/>
      <c r="K6" s="10"/>
      <c r="L6" s="10" t="s">
        <v>26</v>
      </c>
      <c r="M6" s="10"/>
      <c r="N6" s="10"/>
      <c r="O6" s="10" t="s">
        <v>26</v>
      </c>
      <c r="P6" s="10"/>
      <c r="Q6" s="10"/>
      <c r="R6" s="10" t="s">
        <v>26</v>
      </c>
      <c r="S6" s="10"/>
      <c r="T6" s="10"/>
      <c r="U6" s="10" t="s">
        <v>26</v>
      </c>
      <c r="V6" s="10"/>
      <c r="W6" s="10" t="s">
        <v>26</v>
      </c>
      <c r="X6" s="10" t="s">
        <v>26</v>
      </c>
      <c r="Y6" s="10" t="s">
        <v>26</v>
      </c>
      <c r="Z6" s="10" t="s">
        <v>26</v>
      </c>
      <c r="AA6" s="10" t="s">
        <v>26</v>
      </c>
      <c r="AB6" s="10" t="s">
        <v>26</v>
      </c>
      <c r="AC6" s="10" t="s">
        <v>26</v>
      </c>
      <c r="AD6" s="10" t="s">
        <v>26</v>
      </c>
      <c r="AE6" s="10" t="s">
        <v>26</v>
      </c>
      <c r="AF6" s="10" t="s">
        <v>26</v>
      </c>
      <c r="AG6" s="10">
        <f>COUNTIF(C6:AF6,"○")</f>
        <v>19</v>
      </c>
    </row>
    <row r="7" spans="1:34">
      <c r="A7" s="10" t="s">
        <v>4</v>
      </c>
      <c r="B7" s="10" t="s">
        <v>25</v>
      </c>
      <c r="C7" s="10" t="s">
        <v>26</v>
      </c>
      <c r="D7" s="10" t="s">
        <v>26</v>
      </c>
      <c r="E7" s="10" t="s">
        <v>26</v>
      </c>
      <c r="F7" s="10"/>
      <c r="G7" s="10" t="s">
        <v>26</v>
      </c>
      <c r="H7" s="10"/>
      <c r="I7" s="10" t="s">
        <v>26</v>
      </c>
      <c r="J7" s="10" t="s">
        <v>26</v>
      </c>
      <c r="K7" s="10" t="s">
        <v>26</v>
      </c>
      <c r="L7" s="10"/>
      <c r="M7" s="10"/>
      <c r="N7" s="10"/>
      <c r="O7" s="10" t="s">
        <v>26</v>
      </c>
      <c r="P7" s="10" t="s">
        <v>26</v>
      </c>
      <c r="Q7" s="10" t="s">
        <v>26</v>
      </c>
      <c r="R7" s="10"/>
      <c r="S7" s="10"/>
      <c r="T7" s="10"/>
      <c r="U7" s="10"/>
      <c r="V7" s="10"/>
      <c r="W7" s="10" t="s">
        <v>26</v>
      </c>
      <c r="X7" s="10" t="s">
        <v>26</v>
      </c>
      <c r="Y7" s="10" t="s">
        <v>26</v>
      </c>
      <c r="Z7" s="10" t="s">
        <v>26</v>
      </c>
      <c r="AA7" s="10" t="s">
        <v>26</v>
      </c>
      <c r="AB7" s="10" t="s">
        <v>26</v>
      </c>
      <c r="AC7" s="10" t="s">
        <v>26</v>
      </c>
      <c r="AD7" s="10" t="s">
        <v>26</v>
      </c>
      <c r="AE7" s="10" t="s">
        <v>26</v>
      </c>
      <c r="AF7" s="10" t="s">
        <v>26</v>
      </c>
      <c r="AG7" s="10">
        <f t="shared" ref="AG7:AG15" si="0">COUNTIF(C7:AF7,"○")</f>
        <v>20</v>
      </c>
    </row>
    <row r="8" spans="1:34">
      <c r="A8" s="10" t="s">
        <v>5</v>
      </c>
      <c r="B8" s="10" t="s">
        <v>25</v>
      </c>
      <c r="C8" s="10"/>
      <c r="D8" s="10" t="s">
        <v>26</v>
      </c>
      <c r="E8" s="10"/>
      <c r="F8" s="10"/>
      <c r="G8" s="10" t="s">
        <v>26</v>
      </c>
      <c r="H8" s="10"/>
      <c r="I8" s="10"/>
      <c r="J8" s="10"/>
      <c r="K8" s="10"/>
      <c r="L8" s="10"/>
      <c r="M8" s="10"/>
      <c r="N8" s="10"/>
      <c r="O8" s="10"/>
      <c r="P8" s="10"/>
      <c r="Q8" s="10"/>
      <c r="R8" s="10" t="s">
        <v>26</v>
      </c>
      <c r="S8" s="10" t="s">
        <v>26</v>
      </c>
      <c r="T8" s="10" t="s">
        <v>26</v>
      </c>
      <c r="U8" s="10" t="s">
        <v>26</v>
      </c>
      <c r="V8" s="10" t="s">
        <v>26</v>
      </c>
      <c r="W8" s="10" t="s">
        <v>26</v>
      </c>
      <c r="X8" s="10" t="s">
        <v>26</v>
      </c>
      <c r="Y8" s="10" t="s">
        <v>26</v>
      </c>
      <c r="Z8" s="10" t="s">
        <v>26</v>
      </c>
      <c r="AA8" s="10" t="s">
        <v>26</v>
      </c>
      <c r="AB8" s="10" t="s">
        <v>26</v>
      </c>
      <c r="AC8" s="10" t="s">
        <v>26</v>
      </c>
      <c r="AD8" s="10" t="s">
        <v>26</v>
      </c>
      <c r="AE8" s="10" t="s">
        <v>26</v>
      </c>
      <c r="AF8" s="10" t="s">
        <v>26</v>
      </c>
      <c r="AG8" s="10">
        <f t="shared" si="0"/>
        <v>17</v>
      </c>
    </row>
    <row r="9" spans="1:34">
      <c r="A9" s="10" t="s">
        <v>6</v>
      </c>
      <c r="B9" s="10"/>
      <c r="C9" s="10" t="s">
        <v>26</v>
      </c>
      <c r="D9" s="10" t="s">
        <v>26</v>
      </c>
      <c r="E9" s="10" t="s">
        <v>26</v>
      </c>
      <c r="F9" s="10" t="s">
        <v>26</v>
      </c>
      <c r="G9" s="10" t="s">
        <v>26</v>
      </c>
      <c r="H9" s="10" t="s">
        <v>26</v>
      </c>
      <c r="I9" s="10" t="s">
        <v>26</v>
      </c>
      <c r="J9" s="10" t="s">
        <v>26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 t="s">
        <v>26</v>
      </c>
      <c r="AE9" s="10" t="s">
        <v>26</v>
      </c>
      <c r="AF9" s="10" t="s">
        <v>26</v>
      </c>
      <c r="AG9" s="10">
        <f t="shared" si="0"/>
        <v>11</v>
      </c>
    </row>
    <row r="10" spans="1:34">
      <c r="A10" s="10" t="s">
        <v>7</v>
      </c>
      <c r="B10" s="10"/>
      <c r="C10" s="10"/>
      <c r="D10" s="10" t="s">
        <v>26</v>
      </c>
      <c r="E10" s="10" t="s">
        <v>26</v>
      </c>
      <c r="F10" s="10"/>
      <c r="G10" s="10" t="s">
        <v>26</v>
      </c>
      <c r="H10" s="10" t="s">
        <v>26</v>
      </c>
      <c r="I10" s="10"/>
      <c r="J10" s="10"/>
      <c r="K10" s="10" t="s">
        <v>26</v>
      </c>
      <c r="L10" s="10"/>
      <c r="M10" s="10"/>
      <c r="N10" s="10" t="s">
        <v>26</v>
      </c>
      <c r="O10" s="10"/>
      <c r="P10" s="10"/>
      <c r="Q10" s="10" t="s">
        <v>26</v>
      </c>
      <c r="R10" s="10"/>
      <c r="S10" s="10"/>
      <c r="T10" s="10" t="s">
        <v>26</v>
      </c>
      <c r="U10" s="10"/>
      <c r="V10" s="10"/>
      <c r="W10" s="10" t="s">
        <v>26</v>
      </c>
      <c r="X10" s="10" t="s">
        <v>26</v>
      </c>
      <c r="Y10" s="10" t="s">
        <v>26</v>
      </c>
      <c r="Z10" s="10" t="s">
        <v>26</v>
      </c>
      <c r="AA10" s="10" t="s">
        <v>26</v>
      </c>
      <c r="AB10" s="10" t="s">
        <v>26</v>
      </c>
      <c r="AC10" s="10" t="s">
        <v>26</v>
      </c>
      <c r="AD10" s="10" t="s">
        <v>26</v>
      </c>
      <c r="AE10" s="10" t="s">
        <v>26</v>
      </c>
      <c r="AF10" s="10" t="s">
        <v>26</v>
      </c>
      <c r="AG10" s="10">
        <f t="shared" si="0"/>
        <v>18</v>
      </c>
    </row>
    <row r="11" spans="1:34">
      <c r="A11" s="10" t="s">
        <v>8</v>
      </c>
      <c r="B11" s="10"/>
      <c r="C11" s="10" t="s">
        <v>26</v>
      </c>
      <c r="D11" s="10" t="s">
        <v>26</v>
      </c>
      <c r="E11" s="10" t="s">
        <v>26</v>
      </c>
      <c r="F11" s="10" t="s">
        <v>26</v>
      </c>
      <c r="G11" s="10" t="s">
        <v>26</v>
      </c>
      <c r="H11" s="10" t="s">
        <v>26</v>
      </c>
      <c r="I11" s="10" t="s">
        <v>26</v>
      </c>
      <c r="J11" s="10" t="s">
        <v>26</v>
      </c>
      <c r="K11" s="10" t="s">
        <v>26</v>
      </c>
      <c r="L11" s="10" t="s">
        <v>26</v>
      </c>
      <c r="M11" s="10" t="s">
        <v>26</v>
      </c>
      <c r="N11" s="10" t="s">
        <v>26</v>
      </c>
      <c r="O11" s="10" t="s">
        <v>26</v>
      </c>
      <c r="P11" s="10" t="s">
        <v>26</v>
      </c>
      <c r="Q11" s="10" t="s">
        <v>26</v>
      </c>
      <c r="R11" s="10"/>
      <c r="S11" s="10"/>
      <c r="T11" s="10"/>
      <c r="U11" s="10"/>
      <c r="V11" s="10"/>
      <c r="W11" s="10" t="s">
        <v>26</v>
      </c>
      <c r="X11" s="10" t="s">
        <v>26</v>
      </c>
      <c r="Y11" s="10" t="s">
        <v>26</v>
      </c>
      <c r="Z11" s="10" t="s">
        <v>26</v>
      </c>
      <c r="AA11" s="10" t="s">
        <v>26</v>
      </c>
      <c r="AB11" s="10" t="s">
        <v>26</v>
      </c>
      <c r="AC11" s="10" t="s">
        <v>26</v>
      </c>
      <c r="AD11" s="10" t="s">
        <v>26</v>
      </c>
      <c r="AE11" s="10" t="s">
        <v>26</v>
      </c>
      <c r="AF11" s="10" t="s">
        <v>26</v>
      </c>
      <c r="AG11" s="10">
        <f t="shared" si="0"/>
        <v>25</v>
      </c>
    </row>
    <row r="12" spans="1:34">
      <c r="A12" s="10" t="s">
        <v>9</v>
      </c>
      <c r="B12" s="10"/>
      <c r="C12" s="10"/>
      <c r="D12" s="10" t="s">
        <v>26</v>
      </c>
      <c r="E12" s="10"/>
      <c r="F12" s="10"/>
      <c r="G12" s="10" t="s">
        <v>26</v>
      </c>
      <c r="H12" s="10"/>
      <c r="I12" s="10"/>
      <c r="J12" s="10"/>
      <c r="K12" s="10"/>
      <c r="L12" s="10"/>
      <c r="M12" s="10"/>
      <c r="N12" s="10"/>
      <c r="O12" s="10" t="s">
        <v>26</v>
      </c>
      <c r="P12" s="10" t="s">
        <v>26</v>
      </c>
      <c r="Q12" s="10" t="s">
        <v>26</v>
      </c>
      <c r="R12" s="10" t="s">
        <v>26</v>
      </c>
      <c r="S12" s="10" t="s">
        <v>26</v>
      </c>
      <c r="T12" s="10" t="s">
        <v>26</v>
      </c>
      <c r="U12" s="10" t="s">
        <v>26</v>
      </c>
      <c r="V12" s="10" t="s">
        <v>26</v>
      </c>
      <c r="W12" s="10" t="s">
        <v>26</v>
      </c>
      <c r="X12" s="10" t="s">
        <v>26</v>
      </c>
      <c r="Y12" s="10" t="s">
        <v>26</v>
      </c>
      <c r="Z12" s="10" t="s">
        <v>26</v>
      </c>
      <c r="AA12" s="10" t="s">
        <v>26</v>
      </c>
      <c r="AB12" s="10" t="s">
        <v>26</v>
      </c>
      <c r="AC12" s="10" t="s">
        <v>26</v>
      </c>
      <c r="AD12" s="10" t="s">
        <v>26</v>
      </c>
      <c r="AE12" s="10" t="s">
        <v>26</v>
      </c>
      <c r="AF12" s="10" t="s">
        <v>26</v>
      </c>
      <c r="AG12" s="10">
        <f t="shared" si="0"/>
        <v>20</v>
      </c>
    </row>
    <row r="13" spans="1:34">
      <c r="A13" s="10" t="s">
        <v>10</v>
      </c>
      <c r="B13" s="10"/>
      <c r="C13" s="10"/>
      <c r="D13" s="10"/>
      <c r="E13" s="10"/>
      <c r="F13" s="10"/>
      <c r="G13" s="10" t="s">
        <v>26</v>
      </c>
      <c r="H13" s="10"/>
      <c r="I13" s="10"/>
      <c r="J13" s="10" t="s">
        <v>26</v>
      </c>
      <c r="K13" s="10"/>
      <c r="L13" s="10"/>
      <c r="M13" s="10" t="s">
        <v>26</v>
      </c>
      <c r="N13" s="10"/>
      <c r="O13" s="10"/>
      <c r="P13" s="10" t="s">
        <v>26</v>
      </c>
      <c r="Q13" s="10"/>
      <c r="R13" s="10"/>
      <c r="S13" s="10" t="s">
        <v>26</v>
      </c>
      <c r="T13" s="10"/>
      <c r="U13" s="10"/>
      <c r="V13" s="10" t="s">
        <v>26</v>
      </c>
      <c r="W13" s="10" t="s">
        <v>26</v>
      </c>
      <c r="X13" s="10" t="s">
        <v>26</v>
      </c>
      <c r="Y13" s="10" t="s">
        <v>26</v>
      </c>
      <c r="Z13" s="10" t="s">
        <v>26</v>
      </c>
      <c r="AA13" s="10" t="s">
        <v>26</v>
      </c>
      <c r="AB13" s="10" t="s">
        <v>26</v>
      </c>
      <c r="AC13" s="10" t="s">
        <v>26</v>
      </c>
      <c r="AD13" s="10" t="s">
        <v>26</v>
      </c>
      <c r="AE13" s="10" t="s">
        <v>26</v>
      </c>
      <c r="AF13" s="10" t="s">
        <v>26</v>
      </c>
      <c r="AG13" s="10">
        <f t="shared" si="0"/>
        <v>16</v>
      </c>
    </row>
    <row r="14" spans="1:34">
      <c r="A14" s="10" t="s">
        <v>11</v>
      </c>
      <c r="B14" s="10"/>
      <c r="C14" s="10"/>
      <c r="D14" s="10" t="s">
        <v>26</v>
      </c>
      <c r="E14" s="10" t="s">
        <v>26</v>
      </c>
      <c r="F14" s="10"/>
      <c r="G14" s="10" t="s">
        <v>26</v>
      </c>
      <c r="H14" s="10" t="s">
        <v>26</v>
      </c>
      <c r="I14" s="10"/>
      <c r="J14" s="10"/>
      <c r="K14" s="10" t="s">
        <v>26</v>
      </c>
      <c r="L14" s="10"/>
      <c r="M14" s="10"/>
      <c r="N14" s="10" t="s">
        <v>26</v>
      </c>
      <c r="O14" s="10"/>
      <c r="P14" s="10"/>
      <c r="Q14" s="10" t="s">
        <v>26</v>
      </c>
      <c r="R14" s="10"/>
      <c r="S14" s="10"/>
      <c r="T14" s="10" t="s">
        <v>26</v>
      </c>
      <c r="U14" s="10"/>
      <c r="V14" s="10"/>
      <c r="W14" s="10" t="s">
        <v>26</v>
      </c>
      <c r="X14" s="10" t="s">
        <v>26</v>
      </c>
      <c r="Y14" s="10" t="s">
        <v>26</v>
      </c>
      <c r="Z14" s="10" t="s">
        <v>26</v>
      </c>
      <c r="AA14" s="10" t="s">
        <v>26</v>
      </c>
      <c r="AB14" s="10" t="s">
        <v>26</v>
      </c>
      <c r="AC14" s="10" t="s">
        <v>26</v>
      </c>
      <c r="AD14" s="10" t="s">
        <v>26</v>
      </c>
      <c r="AE14" s="10" t="s">
        <v>26</v>
      </c>
      <c r="AF14" s="10" t="s">
        <v>26</v>
      </c>
      <c r="AG14" s="10">
        <f t="shared" si="0"/>
        <v>18</v>
      </c>
    </row>
    <row r="15" spans="1:34">
      <c r="A15" s="10" t="s">
        <v>12</v>
      </c>
      <c r="B15" s="10"/>
      <c r="C15" s="11"/>
      <c r="D15" s="11" t="s">
        <v>26</v>
      </c>
      <c r="E15" s="11"/>
      <c r="F15" s="11"/>
      <c r="G15" s="11" t="s">
        <v>26</v>
      </c>
      <c r="H15" s="11"/>
      <c r="I15" s="11"/>
      <c r="J15" s="11"/>
      <c r="K15" s="11"/>
      <c r="L15" s="11" t="s">
        <v>26</v>
      </c>
      <c r="M15" s="11" t="s">
        <v>26</v>
      </c>
      <c r="N15" s="11" t="s">
        <v>26</v>
      </c>
      <c r="O15" s="11" t="s">
        <v>26</v>
      </c>
      <c r="P15" s="11" t="s">
        <v>26</v>
      </c>
      <c r="Q15" s="11" t="s">
        <v>26</v>
      </c>
      <c r="R15" s="11" t="s">
        <v>26</v>
      </c>
      <c r="S15" s="11" t="s">
        <v>26</v>
      </c>
      <c r="T15" s="11" t="s">
        <v>26</v>
      </c>
      <c r="U15" s="11" t="s">
        <v>26</v>
      </c>
      <c r="V15" s="11" t="s">
        <v>26</v>
      </c>
      <c r="W15" s="11" t="s">
        <v>26</v>
      </c>
      <c r="X15" s="11" t="s">
        <v>26</v>
      </c>
      <c r="Y15" s="11" t="s">
        <v>26</v>
      </c>
      <c r="Z15" s="11" t="s">
        <v>26</v>
      </c>
      <c r="AA15" s="11" t="s">
        <v>26</v>
      </c>
      <c r="AB15" s="11" t="s">
        <v>26</v>
      </c>
      <c r="AC15" s="11" t="s">
        <v>26</v>
      </c>
      <c r="AD15" s="11" t="s">
        <v>26</v>
      </c>
      <c r="AE15" s="11" t="s">
        <v>26</v>
      </c>
      <c r="AF15" s="11" t="s">
        <v>26</v>
      </c>
      <c r="AG15" s="5">
        <f t="shared" si="0"/>
        <v>23</v>
      </c>
    </row>
    <row r="16" spans="1:34">
      <c r="A16" s="1"/>
      <c r="B16" s="10" t="s">
        <v>13</v>
      </c>
      <c r="C16" s="10">
        <v>2</v>
      </c>
      <c r="D16" s="10">
        <v>3</v>
      </c>
      <c r="E16" s="10">
        <v>3</v>
      </c>
      <c r="F16" s="10">
        <v>2</v>
      </c>
      <c r="G16" s="10">
        <v>3</v>
      </c>
      <c r="H16" s="10">
        <v>3</v>
      </c>
      <c r="I16" s="10">
        <v>2</v>
      </c>
      <c r="J16" s="10">
        <v>3</v>
      </c>
      <c r="K16" s="10">
        <v>3</v>
      </c>
      <c r="L16" s="10">
        <v>2</v>
      </c>
      <c r="M16" s="10">
        <v>2</v>
      </c>
      <c r="N16" s="10">
        <v>2</v>
      </c>
      <c r="O16" s="10">
        <v>2</v>
      </c>
      <c r="P16" s="10">
        <v>3</v>
      </c>
      <c r="Q16" s="10">
        <v>3</v>
      </c>
      <c r="R16" s="10">
        <v>2</v>
      </c>
      <c r="S16" s="10">
        <v>4</v>
      </c>
      <c r="T16" s="10">
        <v>4</v>
      </c>
      <c r="U16" s="10">
        <v>2</v>
      </c>
      <c r="V16" s="10">
        <v>4</v>
      </c>
      <c r="W16" s="10">
        <v>4</v>
      </c>
      <c r="X16" s="10">
        <v>4</v>
      </c>
      <c r="Y16" s="10">
        <v>4</v>
      </c>
      <c r="Z16" s="10">
        <v>4</v>
      </c>
      <c r="AA16" s="10">
        <v>4</v>
      </c>
      <c r="AB16" s="10">
        <v>4</v>
      </c>
      <c r="AC16" s="10">
        <v>3</v>
      </c>
      <c r="AD16" s="10">
        <v>3</v>
      </c>
      <c r="AE16" s="10">
        <v>3</v>
      </c>
      <c r="AF16" s="10">
        <v>3</v>
      </c>
      <c r="AG16" s="2"/>
      <c r="AH16" s="4"/>
    </row>
    <row r="17" spans="1:34">
      <c r="A17" s="6"/>
      <c r="B17" s="10" t="s">
        <v>14</v>
      </c>
      <c r="C17" s="10">
        <f>COUNTIF(C6:C15,"○")</f>
        <v>4</v>
      </c>
      <c r="D17" s="10">
        <f>COUNTIF(D6:D15,"○")</f>
        <v>9</v>
      </c>
      <c r="E17" s="10">
        <f t="shared" ref="E17:AF17" si="1">COUNTIF(E6:E15,"○")</f>
        <v>5</v>
      </c>
      <c r="F17" s="10">
        <f t="shared" si="1"/>
        <v>3</v>
      </c>
      <c r="G17" s="10">
        <f t="shared" si="1"/>
        <v>10</v>
      </c>
      <c r="H17" s="10">
        <f t="shared" si="1"/>
        <v>4</v>
      </c>
      <c r="I17" s="10">
        <f t="shared" si="1"/>
        <v>4</v>
      </c>
      <c r="J17" s="10">
        <f t="shared" si="1"/>
        <v>4</v>
      </c>
      <c r="K17" s="10">
        <f t="shared" si="1"/>
        <v>4</v>
      </c>
      <c r="L17" s="10">
        <f t="shared" si="1"/>
        <v>3</v>
      </c>
      <c r="M17" s="10">
        <f t="shared" si="1"/>
        <v>3</v>
      </c>
      <c r="N17" s="10">
        <f t="shared" si="1"/>
        <v>4</v>
      </c>
      <c r="O17" s="10">
        <f t="shared" si="1"/>
        <v>5</v>
      </c>
      <c r="P17" s="10">
        <f t="shared" si="1"/>
        <v>5</v>
      </c>
      <c r="Q17" s="10">
        <f t="shared" si="1"/>
        <v>6</v>
      </c>
      <c r="R17" s="10">
        <f t="shared" si="1"/>
        <v>4</v>
      </c>
      <c r="S17" s="10">
        <f t="shared" si="1"/>
        <v>4</v>
      </c>
      <c r="T17" s="10">
        <f t="shared" si="1"/>
        <v>5</v>
      </c>
      <c r="U17" s="10">
        <f t="shared" si="1"/>
        <v>4</v>
      </c>
      <c r="V17" s="10">
        <f t="shared" si="1"/>
        <v>4</v>
      </c>
      <c r="W17" s="10">
        <f t="shared" si="1"/>
        <v>9</v>
      </c>
      <c r="X17" s="10">
        <f t="shared" si="1"/>
        <v>9</v>
      </c>
      <c r="Y17" s="10">
        <f t="shared" si="1"/>
        <v>9</v>
      </c>
      <c r="Z17" s="10">
        <f t="shared" si="1"/>
        <v>9</v>
      </c>
      <c r="AA17" s="10">
        <f t="shared" si="1"/>
        <v>9</v>
      </c>
      <c r="AB17" s="10">
        <f t="shared" si="1"/>
        <v>9</v>
      </c>
      <c r="AC17" s="10">
        <f t="shared" si="1"/>
        <v>9</v>
      </c>
      <c r="AD17" s="10">
        <f t="shared" si="1"/>
        <v>10</v>
      </c>
      <c r="AE17" s="10">
        <f t="shared" si="1"/>
        <v>10</v>
      </c>
      <c r="AF17" s="10">
        <f t="shared" si="1"/>
        <v>10</v>
      </c>
      <c r="AG17" s="4"/>
      <c r="AH17" s="4"/>
    </row>
    <row r="18" spans="1:34">
      <c r="AG18" s="4"/>
      <c r="AH18" s="4"/>
    </row>
  </sheetData>
  <phoneticPr fontId="1"/>
  <conditionalFormatting sqref="C6:AF15">
    <cfRule type="cellIs" dxfId="0" priority="1" operator="equal">
      <formula>"○"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5DD64-5615-884E-B131-A3873A828104}">
  <sheetPr codeName="Sheet3"/>
  <dimension ref="A4:AG17"/>
  <sheetViews>
    <sheetView tabSelected="1" workbookViewId="0">
      <selection activeCell="U15" sqref="U15"/>
    </sheetView>
  </sheetViews>
  <sheetFormatPr baseColWidth="10" defaultRowHeight="20"/>
  <cols>
    <col min="1" max="1" width="5.140625" bestFit="1" customWidth="1"/>
    <col min="2" max="2" width="8.5703125" bestFit="1" customWidth="1"/>
    <col min="3" max="6" width="3.42578125" bestFit="1" customWidth="1"/>
    <col min="7" max="7" width="3.7109375" bestFit="1" customWidth="1"/>
    <col min="8" max="20" width="3.42578125" bestFit="1" customWidth="1"/>
    <col min="21" max="32" width="3.7109375" bestFit="1" customWidth="1"/>
    <col min="33" max="33" width="10.28515625" bestFit="1" customWidth="1"/>
  </cols>
  <sheetData>
    <row r="4" spans="1:33">
      <c r="A4" s="11" t="s">
        <v>0</v>
      </c>
      <c r="B4" s="2" t="s">
        <v>1</v>
      </c>
      <c r="C4" s="10" t="s">
        <v>2</v>
      </c>
      <c r="D4" s="9" t="s">
        <v>2</v>
      </c>
      <c r="E4" s="10" t="s">
        <v>15</v>
      </c>
      <c r="F4" s="10" t="s">
        <v>15</v>
      </c>
      <c r="G4" s="10" t="s">
        <v>16</v>
      </c>
      <c r="H4" s="10" t="s">
        <v>17</v>
      </c>
      <c r="I4" s="10" t="s">
        <v>18</v>
      </c>
      <c r="J4" s="10" t="s">
        <v>19</v>
      </c>
      <c r="K4" s="10" t="s">
        <v>20</v>
      </c>
      <c r="L4" s="10" t="s">
        <v>21</v>
      </c>
      <c r="M4" s="10" t="s">
        <v>22</v>
      </c>
      <c r="N4" s="10" t="s">
        <v>22</v>
      </c>
      <c r="O4" s="10" t="s">
        <v>23</v>
      </c>
      <c r="P4" s="10" t="s">
        <v>24</v>
      </c>
      <c r="Q4" s="10" t="s">
        <v>2</v>
      </c>
      <c r="R4" s="10" t="s">
        <v>2</v>
      </c>
      <c r="S4" s="10" t="s">
        <v>15</v>
      </c>
      <c r="T4" s="10" t="s">
        <v>15</v>
      </c>
      <c r="U4" s="10" t="s">
        <v>16</v>
      </c>
      <c r="V4" s="10" t="s">
        <v>17</v>
      </c>
      <c r="W4" s="10" t="s">
        <v>18</v>
      </c>
      <c r="X4" s="10" t="s">
        <v>19</v>
      </c>
      <c r="Y4" s="10" t="s">
        <v>20</v>
      </c>
      <c r="Z4" s="10" t="s">
        <v>21</v>
      </c>
      <c r="AA4" s="10" t="s">
        <v>22</v>
      </c>
      <c r="AB4" s="10" t="s">
        <v>22</v>
      </c>
      <c r="AC4" s="10" t="s">
        <v>23</v>
      </c>
      <c r="AD4" s="10" t="s">
        <v>24</v>
      </c>
      <c r="AE4" s="10" t="s">
        <v>2</v>
      </c>
      <c r="AF4" s="10" t="s">
        <v>2</v>
      </c>
      <c r="AG4" s="3" t="s">
        <v>27</v>
      </c>
    </row>
    <row r="5" spans="1:33">
      <c r="A5" s="13"/>
      <c r="B5" s="6"/>
      <c r="C5" s="14">
        <v>1</v>
      </c>
      <c r="D5" s="15">
        <v>1</v>
      </c>
      <c r="E5" s="14">
        <v>2</v>
      </c>
      <c r="F5" s="14">
        <v>2</v>
      </c>
      <c r="G5" s="14">
        <v>3</v>
      </c>
      <c r="H5" s="14">
        <v>3</v>
      </c>
      <c r="I5" s="14">
        <v>4</v>
      </c>
      <c r="J5" s="14">
        <v>4</v>
      </c>
      <c r="K5" s="14">
        <v>5</v>
      </c>
      <c r="L5" s="14">
        <v>5</v>
      </c>
      <c r="M5" s="14">
        <v>6</v>
      </c>
      <c r="N5" s="14">
        <v>6</v>
      </c>
      <c r="O5" s="14">
        <v>7</v>
      </c>
      <c r="P5" s="14">
        <v>7</v>
      </c>
      <c r="Q5" s="14">
        <v>8</v>
      </c>
      <c r="R5" s="14">
        <v>8</v>
      </c>
      <c r="S5" s="14">
        <v>9</v>
      </c>
      <c r="T5" s="14">
        <v>9</v>
      </c>
      <c r="U5" s="14">
        <v>10</v>
      </c>
      <c r="V5" s="14">
        <v>10</v>
      </c>
      <c r="W5" s="14">
        <v>11</v>
      </c>
      <c r="X5" s="14">
        <v>11</v>
      </c>
      <c r="Y5" s="14">
        <v>12</v>
      </c>
      <c r="Z5" s="14">
        <v>12</v>
      </c>
      <c r="AA5" s="14">
        <v>13</v>
      </c>
      <c r="AB5" s="14">
        <v>13</v>
      </c>
      <c r="AC5" s="14">
        <v>14</v>
      </c>
      <c r="AD5" s="14">
        <v>14</v>
      </c>
      <c r="AE5" s="14">
        <v>15</v>
      </c>
      <c r="AF5" s="14">
        <v>15</v>
      </c>
      <c r="AG5" s="5"/>
    </row>
    <row r="6" spans="1:33">
      <c r="A6" s="10" t="s">
        <v>3</v>
      </c>
      <c r="B6" s="6" t="str">
        <f>IF(Sheet1!B6 = "◎","◎","　")</f>
        <v>◎</v>
      </c>
      <c r="C6" s="14" t="str">
        <f>IF([1]New_Shift!B2 = "○","○","")</f>
        <v/>
      </c>
      <c r="D6" s="14" t="str">
        <f>IF([1]New_Shift!C2 = "○","○","")</f>
        <v/>
      </c>
      <c r="E6" s="14" t="str">
        <f>IF([1]New_Shift!D2 = "○","○","")</f>
        <v/>
      </c>
      <c r="F6" s="14" t="str">
        <f>IF([1]New_Shift!E2 = "○","○","")</f>
        <v>○</v>
      </c>
      <c r="G6" s="14" t="str">
        <f>IF([1]New_Shift!F2 = "○","○","")</f>
        <v/>
      </c>
      <c r="H6" s="14" t="str">
        <f>IF([1]New_Shift!G2 = "○","○","")</f>
        <v/>
      </c>
      <c r="I6" s="14" t="str">
        <f>IF([1]New_Shift!H2 = "○","○","")</f>
        <v>○</v>
      </c>
      <c r="J6" s="14" t="str">
        <f>IF([1]New_Shift!I2 = "○","○","")</f>
        <v/>
      </c>
      <c r="K6" s="14" t="str">
        <f>IF([1]New_Shift!J2 = "○","○","")</f>
        <v/>
      </c>
      <c r="L6" s="14" t="str">
        <f>IF([1]New_Shift!K2 = "○","○","")</f>
        <v>○</v>
      </c>
      <c r="M6" s="14" t="str">
        <f>IF([1]New_Shift!L2 = "○","○","")</f>
        <v/>
      </c>
      <c r="N6" s="14" t="str">
        <f>IF([1]New_Shift!M2 = "○","○","")</f>
        <v/>
      </c>
      <c r="O6" s="14" t="str">
        <f>IF([1]New_Shift!N2 = "○","○","")</f>
        <v/>
      </c>
      <c r="P6" s="14" t="str">
        <f>IF([1]New_Shift!O2 = "○","○","")</f>
        <v/>
      </c>
      <c r="Q6" s="14" t="str">
        <f>IF([1]New_Shift!P2 = "○","○","")</f>
        <v/>
      </c>
      <c r="R6" s="14" t="str">
        <f>IF([1]New_Shift!Q2 = "○","○","")</f>
        <v>○</v>
      </c>
      <c r="S6" s="14" t="str">
        <f>IF([1]New_Shift!R2 = "○","○","")</f>
        <v/>
      </c>
      <c r="T6" s="14" t="str">
        <f>IF([1]New_Shift!S2 = "○","○","")</f>
        <v/>
      </c>
      <c r="U6" s="14" t="str">
        <f>IF([1]New_Shift!T2 = "○","○","")</f>
        <v>○</v>
      </c>
      <c r="V6" s="14" t="str">
        <f>IF([1]New_Shift!U2 = "○","○","")</f>
        <v/>
      </c>
      <c r="W6" s="14" t="str">
        <f>IF([1]New_Shift!V2 = "○","○","")</f>
        <v>○</v>
      </c>
      <c r="X6" s="14" t="str">
        <f>IF([1]New_Shift!W2 = "○","○","")</f>
        <v>○</v>
      </c>
      <c r="Y6" s="14" t="str">
        <f>IF([1]New_Shift!X2 = "○","○","")</f>
        <v/>
      </c>
      <c r="Z6" s="14" t="str">
        <f>IF([1]New_Shift!Y2 = "○","○","")</f>
        <v/>
      </c>
      <c r="AA6" s="14" t="str">
        <f>IF([1]New_Shift!Z2 = "○","○","")</f>
        <v/>
      </c>
      <c r="AB6" s="14" t="str">
        <f>IF([1]New_Shift!AA2 = "○","○","")</f>
        <v/>
      </c>
      <c r="AC6" s="14" t="str">
        <f>IF([1]New_Shift!AB2 = "○","○","")</f>
        <v/>
      </c>
      <c r="AD6" s="14" t="str">
        <f>IF([1]New_Shift!AC2 = "○","○","")</f>
        <v/>
      </c>
      <c r="AE6" s="14" t="str">
        <f>IF([1]New_Shift!AD2 = "○","○","")</f>
        <v>○</v>
      </c>
      <c r="AF6" s="14" t="str">
        <f>IF([1]New_Shift!AE2 = "○","○","")</f>
        <v>○</v>
      </c>
      <c r="AG6" s="10">
        <f>COUNTIF(C6:AF6,"○")</f>
        <v>9</v>
      </c>
    </row>
    <row r="7" spans="1:33">
      <c r="A7" s="10" t="s">
        <v>4</v>
      </c>
      <c r="B7" s="6" t="str">
        <f>IF(Sheet1!B7 = "◎","◎","　")</f>
        <v>◎</v>
      </c>
      <c r="C7" s="14" t="str">
        <f>IF([1]New_Shift!B3 = "○","○","")</f>
        <v>○</v>
      </c>
      <c r="D7" s="14" t="str">
        <f>IF([1]New_Shift!C3 = "○","○","")</f>
        <v/>
      </c>
      <c r="E7" s="14" t="str">
        <f>IF([1]New_Shift!D3 = "○","○","")</f>
        <v>○</v>
      </c>
      <c r="F7" s="14" t="str">
        <f>IF([1]New_Shift!E3 = "○","○","")</f>
        <v/>
      </c>
      <c r="G7" s="14" t="str">
        <f>IF([1]New_Shift!F3 = "○","○","")</f>
        <v/>
      </c>
      <c r="H7" s="14" t="str">
        <f>IF([1]New_Shift!G3 = "○","○","")</f>
        <v/>
      </c>
      <c r="I7" s="14" t="str">
        <f>IF([1]New_Shift!H3 = "○","○","")</f>
        <v/>
      </c>
      <c r="J7" s="14" t="str">
        <f>IF([1]New_Shift!I3 = "○","○","")</f>
        <v>○</v>
      </c>
      <c r="K7" s="14" t="str">
        <f>IF([1]New_Shift!J3 = "○","○","")</f>
        <v>○</v>
      </c>
      <c r="L7" s="14" t="str">
        <f>IF([1]New_Shift!K3 = "○","○","")</f>
        <v/>
      </c>
      <c r="M7" s="14" t="str">
        <f>IF([1]New_Shift!L3 = "○","○","")</f>
        <v/>
      </c>
      <c r="N7" s="14" t="str">
        <f>IF([1]New_Shift!M3 = "○","○","")</f>
        <v/>
      </c>
      <c r="O7" s="14" t="str">
        <f>IF([1]New_Shift!N3 = "○","○","")</f>
        <v>○</v>
      </c>
      <c r="P7" s="14" t="str">
        <f>IF([1]New_Shift!O3 = "○","○","")</f>
        <v>○</v>
      </c>
      <c r="Q7" s="14" t="str">
        <f>IF([1]New_Shift!P3 = "○","○","")</f>
        <v>○</v>
      </c>
      <c r="R7" s="14" t="str">
        <f>IF([1]New_Shift!Q3 = "○","○","")</f>
        <v/>
      </c>
      <c r="S7" s="14" t="str">
        <f>IF([1]New_Shift!R3 = "○","○","")</f>
        <v/>
      </c>
      <c r="T7" s="14" t="str">
        <f>IF([1]New_Shift!S3 = "○","○","")</f>
        <v/>
      </c>
      <c r="U7" s="14" t="str">
        <f>IF([1]New_Shift!T3 = "○","○","")</f>
        <v/>
      </c>
      <c r="V7" s="14" t="str">
        <f>IF([1]New_Shift!U3 = "○","○","")</f>
        <v/>
      </c>
      <c r="W7" s="14" t="str">
        <f>IF([1]New_Shift!V3 = "○","○","")</f>
        <v/>
      </c>
      <c r="X7" s="14" t="str">
        <f>IF([1]New_Shift!W3 = "○","○","")</f>
        <v/>
      </c>
      <c r="Y7" s="14" t="str">
        <f>IF([1]New_Shift!X3 = "○","○","")</f>
        <v/>
      </c>
      <c r="Z7" s="14" t="str">
        <f>IF([1]New_Shift!Y3 = "○","○","")</f>
        <v/>
      </c>
      <c r="AA7" s="14" t="str">
        <f>IF([1]New_Shift!Z3 = "○","○","")</f>
        <v/>
      </c>
      <c r="AB7" s="14" t="str">
        <f>IF([1]New_Shift!AA3 = "○","○","")</f>
        <v>○</v>
      </c>
      <c r="AC7" s="14" t="str">
        <f>IF([1]New_Shift!AB3 = "○","○","")</f>
        <v/>
      </c>
      <c r="AD7" s="14" t="str">
        <f>IF([1]New_Shift!AC3 = "○","○","")</f>
        <v>○</v>
      </c>
      <c r="AE7" s="14" t="str">
        <f>IF([1]New_Shift!AD3 = "○","○","")</f>
        <v/>
      </c>
      <c r="AF7" s="14" t="str">
        <f>IF([1]New_Shift!AE3 = "○","○","")</f>
        <v/>
      </c>
      <c r="AG7" s="10">
        <f t="shared" ref="AG7:AG15" si="0">COUNTIF(C7:AF7,"○")</f>
        <v>9</v>
      </c>
    </row>
    <row r="8" spans="1:33">
      <c r="A8" s="10" t="s">
        <v>5</v>
      </c>
      <c r="B8" s="6" t="str">
        <f>IF(Sheet1!B8 = "◎","◎","　")</f>
        <v>◎</v>
      </c>
      <c r="C8" s="14" t="str">
        <f>IF([1]New_Shift!B4 = "○","○","")</f>
        <v/>
      </c>
      <c r="D8" s="14" t="str">
        <f>IF([1]New_Shift!C4 = "○","○","")</f>
        <v>○</v>
      </c>
      <c r="E8" s="14" t="str">
        <f>IF([1]New_Shift!D4 = "○","○","")</f>
        <v/>
      </c>
      <c r="F8" s="14" t="str">
        <f>IF([1]New_Shift!E4 = "○","○","")</f>
        <v/>
      </c>
      <c r="G8" s="14" t="str">
        <f>IF([1]New_Shift!F4 = "○","○","")</f>
        <v>○</v>
      </c>
      <c r="H8" s="14" t="str">
        <f>IF([1]New_Shift!G4 = "○","○","")</f>
        <v/>
      </c>
      <c r="I8" s="14" t="str">
        <f>IF([1]New_Shift!H4 = "○","○","")</f>
        <v/>
      </c>
      <c r="J8" s="14" t="str">
        <f>IF([1]New_Shift!I4 = "○","○","")</f>
        <v/>
      </c>
      <c r="K8" s="14" t="str">
        <f>IF([1]New_Shift!J4 = "○","○","")</f>
        <v/>
      </c>
      <c r="L8" s="14" t="str">
        <f>IF([1]New_Shift!K4 = "○","○","")</f>
        <v/>
      </c>
      <c r="M8" s="14" t="str">
        <f>IF([1]New_Shift!L4 = "○","○","")</f>
        <v/>
      </c>
      <c r="N8" s="14" t="str">
        <f>IF([1]New_Shift!M4 = "○","○","")</f>
        <v/>
      </c>
      <c r="O8" s="14" t="str">
        <f>IF([1]New_Shift!N4 = "○","○","")</f>
        <v/>
      </c>
      <c r="P8" s="14" t="str">
        <f>IF([1]New_Shift!O4 = "○","○","")</f>
        <v/>
      </c>
      <c r="Q8" s="14" t="str">
        <f>IF([1]New_Shift!P4 = "○","○","")</f>
        <v/>
      </c>
      <c r="R8" s="14" t="str">
        <f>IF([1]New_Shift!Q4 = "○","○","")</f>
        <v/>
      </c>
      <c r="S8" s="14" t="str">
        <f>IF([1]New_Shift!R4 = "○","○","")</f>
        <v>○</v>
      </c>
      <c r="T8" s="14" t="str">
        <f>IF([1]New_Shift!S4 = "○","○","")</f>
        <v>○</v>
      </c>
      <c r="U8" s="14" t="str">
        <f>IF([1]New_Shift!T4 = "○","○","")</f>
        <v/>
      </c>
      <c r="V8" s="14" t="str">
        <f>IF([1]New_Shift!U4 = "○","○","")</f>
        <v>○</v>
      </c>
      <c r="W8" s="14" t="str">
        <f>IF([1]New_Shift!V4 = "○","○","")</f>
        <v/>
      </c>
      <c r="X8" s="14" t="str">
        <f>IF([1]New_Shift!W4 = "○","○","")</f>
        <v/>
      </c>
      <c r="Y8" s="14" t="str">
        <f>IF([1]New_Shift!X4 = "○","○","")</f>
        <v>○</v>
      </c>
      <c r="Z8" s="14" t="str">
        <f>IF([1]New_Shift!Y4 = "○","○","")</f>
        <v>○</v>
      </c>
      <c r="AA8" s="14" t="str">
        <f>IF([1]New_Shift!Z4 = "○","○","")</f>
        <v>○</v>
      </c>
      <c r="AB8" s="14" t="str">
        <f>IF([1]New_Shift!AA4 = "○","○","")</f>
        <v/>
      </c>
      <c r="AC8" s="14" t="str">
        <f>IF([1]New_Shift!AB4 = "○","○","")</f>
        <v>○</v>
      </c>
      <c r="AD8" s="14" t="str">
        <f>IF([1]New_Shift!AC4 = "○","○","")</f>
        <v/>
      </c>
      <c r="AE8" s="14" t="str">
        <f>IF([1]New_Shift!AD4 = "○","○","")</f>
        <v/>
      </c>
      <c r="AF8" s="14" t="str">
        <f>IF([1]New_Shift!AE4 = "○","○","")</f>
        <v/>
      </c>
      <c r="AG8" s="10">
        <f t="shared" si="0"/>
        <v>9</v>
      </c>
    </row>
    <row r="9" spans="1:33">
      <c r="A9" s="10" t="s">
        <v>6</v>
      </c>
      <c r="B9" s="6" t="str">
        <f>IF(Sheet1!B9 = "◎","◎","　")</f>
        <v>　</v>
      </c>
      <c r="C9" s="14" t="str">
        <f>IF([1]New_Shift!B5 = "○","○","")</f>
        <v>○</v>
      </c>
      <c r="D9" s="14" t="str">
        <f>IF([1]New_Shift!C5 = "○","○","")</f>
        <v/>
      </c>
      <c r="E9" s="14" t="str">
        <f>IF([1]New_Shift!D5 = "○","○","")</f>
        <v>○</v>
      </c>
      <c r="F9" s="14" t="str">
        <f>IF([1]New_Shift!E5 = "○","○","")</f>
        <v>○</v>
      </c>
      <c r="G9" s="14" t="str">
        <f>IF([1]New_Shift!F5 = "○","○","")</f>
        <v/>
      </c>
      <c r="H9" s="14" t="str">
        <f>IF([1]New_Shift!G5 = "○","○","")</f>
        <v>○</v>
      </c>
      <c r="I9" s="14" t="str">
        <f>IF([1]New_Shift!H5 = "○","○","")</f>
        <v/>
      </c>
      <c r="J9" s="14" t="str">
        <f>IF([1]New_Shift!I5 = "○","○","")</f>
        <v/>
      </c>
      <c r="K9" s="14" t="str">
        <f>IF([1]New_Shift!J5 = "○","○","")</f>
        <v/>
      </c>
      <c r="L9" s="14" t="str">
        <f>IF([1]New_Shift!K5 = "○","○","")</f>
        <v/>
      </c>
      <c r="M9" s="14" t="str">
        <f>IF([1]New_Shift!L5 = "○","○","")</f>
        <v/>
      </c>
      <c r="N9" s="14" t="str">
        <f>IF([1]New_Shift!M5 = "○","○","")</f>
        <v/>
      </c>
      <c r="O9" s="14" t="str">
        <f>IF([1]New_Shift!N5 = "○","○","")</f>
        <v/>
      </c>
      <c r="P9" s="14" t="str">
        <f>IF([1]New_Shift!O5 = "○","○","")</f>
        <v/>
      </c>
      <c r="Q9" s="14" t="str">
        <f>IF([1]New_Shift!P5 = "○","○","")</f>
        <v/>
      </c>
      <c r="R9" s="14" t="str">
        <f>IF([1]New_Shift!Q5 = "○","○","")</f>
        <v/>
      </c>
      <c r="S9" s="14" t="str">
        <f>IF([1]New_Shift!R5 = "○","○","")</f>
        <v/>
      </c>
      <c r="T9" s="14" t="str">
        <f>IF([1]New_Shift!S5 = "○","○","")</f>
        <v/>
      </c>
      <c r="U9" s="14" t="str">
        <f>IF([1]New_Shift!T5 = "○","○","")</f>
        <v/>
      </c>
      <c r="V9" s="14" t="str">
        <f>IF([1]New_Shift!U5 = "○","○","")</f>
        <v/>
      </c>
      <c r="W9" s="14" t="str">
        <f>IF([1]New_Shift!V5 = "○","○","")</f>
        <v/>
      </c>
      <c r="X9" s="14" t="str">
        <f>IF([1]New_Shift!W5 = "○","○","")</f>
        <v/>
      </c>
      <c r="Y9" s="14" t="str">
        <f>IF([1]New_Shift!X5 = "○","○","")</f>
        <v/>
      </c>
      <c r="Z9" s="14" t="str">
        <f>IF([1]New_Shift!Y5 = "○","○","")</f>
        <v/>
      </c>
      <c r="AA9" s="14" t="str">
        <f>IF([1]New_Shift!Z5 = "○","○","")</f>
        <v/>
      </c>
      <c r="AB9" s="14" t="str">
        <f>IF([1]New_Shift!AA5 = "○","○","")</f>
        <v/>
      </c>
      <c r="AC9" s="14" t="str">
        <f>IF([1]New_Shift!AB5 = "○","○","")</f>
        <v/>
      </c>
      <c r="AD9" s="14" t="str">
        <f>IF([1]New_Shift!AC5 = "○","○","")</f>
        <v/>
      </c>
      <c r="AE9" s="14" t="str">
        <f>IF([1]New_Shift!AD5 = "○","○","")</f>
        <v>○</v>
      </c>
      <c r="AF9" s="14" t="str">
        <f>IF([1]New_Shift!AE5 = "○","○","")</f>
        <v/>
      </c>
      <c r="AG9" s="10">
        <f t="shared" si="0"/>
        <v>5</v>
      </c>
    </row>
    <row r="10" spans="1:33">
      <c r="A10" s="10" t="s">
        <v>7</v>
      </c>
      <c r="B10" s="6" t="str">
        <f>IF(Sheet1!B10 = "◎","◎","　")</f>
        <v>　</v>
      </c>
      <c r="C10" s="14" t="str">
        <f>IF([1]New_Shift!B6 = "○","○","")</f>
        <v/>
      </c>
      <c r="D10" s="14" t="str">
        <f>IF([1]New_Shift!C6 = "○","○","")</f>
        <v>○</v>
      </c>
      <c r="E10" s="14" t="str">
        <f>IF([1]New_Shift!D6 = "○","○","")</f>
        <v/>
      </c>
      <c r="F10" s="14" t="str">
        <f>IF([1]New_Shift!E6 = "○","○","")</f>
        <v/>
      </c>
      <c r="G10" s="14" t="str">
        <f>IF([1]New_Shift!F6 = "○","○","")</f>
        <v>○</v>
      </c>
      <c r="H10" s="14" t="str">
        <f>IF([1]New_Shift!G6 = "○","○","")</f>
        <v>○</v>
      </c>
      <c r="I10" s="14" t="str">
        <f>IF([1]New_Shift!H6 = "○","○","")</f>
        <v/>
      </c>
      <c r="J10" s="14" t="str">
        <f>IF([1]New_Shift!I6 = "○","○","")</f>
        <v/>
      </c>
      <c r="K10" s="14" t="str">
        <f>IF([1]New_Shift!J6 = "○","○","")</f>
        <v>○</v>
      </c>
      <c r="L10" s="14" t="str">
        <f>IF([1]New_Shift!K6 = "○","○","")</f>
        <v/>
      </c>
      <c r="M10" s="14" t="str">
        <f>IF([1]New_Shift!L6 = "○","○","")</f>
        <v/>
      </c>
      <c r="N10" s="14" t="str">
        <f>IF([1]New_Shift!M6 = "○","○","")</f>
        <v>○</v>
      </c>
      <c r="O10" s="14" t="str">
        <f>IF([1]New_Shift!N6 = "○","○","")</f>
        <v/>
      </c>
      <c r="P10" s="14" t="str">
        <f>IF([1]New_Shift!O6 = "○","○","")</f>
        <v/>
      </c>
      <c r="Q10" s="14" t="str">
        <f>IF([1]New_Shift!P6 = "○","○","")</f>
        <v/>
      </c>
      <c r="R10" s="14" t="str">
        <f>IF([1]New_Shift!Q6 = "○","○","")</f>
        <v/>
      </c>
      <c r="S10" s="14" t="str">
        <f>IF([1]New_Shift!R6 = "○","○","")</f>
        <v/>
      </c>
      <c r="T10" s="14" t="str">
        <f>IF([1]New_Shift!S6 = "○","○","")</f>
        <v>○</v>
      </c>
      <c r="U10" s="14" t="str">
        <f>IF([1]New_Shift!T6 = "○","○","")</f>
        <v/>
      </c>
      <c r="V10" s="14" t="str">
        <f>IF([1]New_Shift!U6 = "○","○","")</f>
        <v/>
      </c>
      <c r="W10" s="14" t="str">
        <f>IF([1]New_Shift!V6 = "○","○","")</f>
        <v/>
      </c>
      <c r="X10" s="14" t="str">
        <f>IF([1]New_Shift!W6 = "○","○","")</f>
        <v/>
      </c>
      <c r="Y10" s="14" t="str">
        <f>IF([1]New_Shift!X6 = "○","○","")</f>
        <v>○</v>
      </c>
      <c r="Z10" s="14" t="str">
        <f>IF([1]New_Shift!Y6 = "○","○","")</f>
        <v>○</v>
      </c>
      <c r="AA10" s="14" t="str">
        <f>IF([1]New_Shift!Z6 = "○","○","")</f>
        <v/>
      </c>
      <c r="AB10" s="14" t="str">
        <f>IF([1]New_Shift!AA6 = "○","○","")</f>
        <v/>
      </c>
      <c r="AC10" s="14" t="str">
        <f>IF([1]New_Shift!AB6 = "○","○","")</f>
        <v>○</v>
      </c>
      <c r="AD10" s="14" t="str">
        <f>IF([1]New_Shift!AC6 = "○","○","")</f>
        <v/>
      </c>
      <c r="AE10" s="14" t="str">
        <f>IF([1]New_Shift!AD6 = "○","○","")</f>
        <v/>
      </c>
      <c r="AF10" s="14" t="str">
        <f>IF([1]New_Shift!AE6 = "○","○","")</f>
        <v/>
      </c>
      <c r="AG10" s="10">
        <f t="shared" si="0"/>
        <v>9</v>
      </c>
    </row>
    <row r="11" spans="1:33">
      <c r="A11" s="10" t="s">
        <v>8</v>
      </c>
      <c r="B11" s="6" t="str">
        <f>IF(Sheet1!B11 = "◎","◎","　")</f>
        <v>　</v>
      </c>
      <c r="C11" s="14" t="str">
        <f>IF([1]New_Shift!B7 = "○","○","")</f>
        <v/>
      </c>
      <c r="D11" s="14" t="str">
        <f>IF([1]New_Shift!C7 = "○","○","")</f>
        <v/>
      </c>
      <c r="E11" s="14" t="str">
        <f>IF([1]New_Shift!D7 = "○","○","")</f>
        <v>○</v>
      </c>
      <c r="F11" s="14" t="str">
        <f>IF([1]New_Shift!E7 = "○","○","")</f>
        <v/>
      </c>
      <c r="G11" s="14" t="str">
        <f>IF([1]New_Shift!F7 = "○","○","")</f>
        <v/>
      </c>
      <c r="H11" s="14" t="str">
        <f>IF([1]New_Shift!G7 = "○","○","")</f>
        <v>○</v>
      </c>
      <c r="I11" s="14" t="str">
        <f>IF([1]New_Shift!H7 = "○","○","")</f>
        <v>○</v>
      </c>
      <c r="J11" s="14" t="str">
        <f>IF([1]New_Shift!I7 = "○","○","")</f>
        <v>○</v>
      </c>
      <c r="K11" s="14" t="str">
        <f>IF([1]New_Shift!J7 = "○","○","")</f>
        <v/>
      </c>
      <c r="L11" s="14" t="str">
        <f>IF([1]New_Shift!K7 = "○","○","")</f>
        <v/>
      </c>
      <c r="M11" s="14" t="str">
        <f>IF([1]New_Shift!L7 = "○","○","")</f>
        <v>○</v>
      </c>
      <c r="N11" s="14" t="str">
        <f>IF([1]New_Shift!M7 = "○","○","")</f>
        <v/>
      </c>
      <c r="O11" s="14" t="str">
        <f>IF([1]New_Shift!N7 = "○","○","")</f>
        <v>○</v>
      </c>
      <c r="P11" s="14" t="str">
        <f>IF([1]New_Shift!O7 = "○","○","")</f>
        <v/>
      </c>
      <c r="Q11" s="14" t="str">
        <f>IF([1]New_Shift!P7 = "○","○","")</f>
        <v>○</v>
      </c>
      <c r="R11" s="14" t="str">
        <f>IF([1]New_Shift!Q7 = "○","○","")</f>
        <v/>
      </c>
      <c r="S11" s="14" t="str">
        <f>IF([1]New_Shift!R7 = "○","○","")</f>
        <v/>
      </c>
      <c r="T11" s="14" t="str">
        <f>IF([1]New_Shift!S7 = "○","○","")</f>
        <v/>
      </c>
      <c r="U11" s="14" t="str">
        <f>IF([1]New_Shift!T7 = "○","○","")</f>
        <v/>
      </c>
      <c r="V11" s="14" t="str">
        <f>IF([1]New_Shift!U7 = "○","○","")</f>
        <v/>
      </c>
      <c r="W11" s="14" t="str">
        <f>IF([1]New_Shift!V7 = "○","○","")</f>
        <v>○</v>
      </c>
      <c r="X11" s="14" t="str">
        <f>IF([1]New_Shift!W7 = "○","○","")</f>
        <v>○</v>
      </c>
      <c r="Y11" s="14" t="str">
        <f>IF([1]New_Shift!X7 = "○","○","")</f>
        <v/>
      </c>
      <c r="Z11" s="14" t="str">
        <f>IF([1]New_Shift!Y7 = "○","○","")</f>
        <v>○</v>
      </c>
      <c r="AA11" s="14" t="str">
        <f>IF([1]New_Shift!Z7 = "○","○","")</f>
        <v>○</v>
      </c>
      <c r="AB11" s="14" t="str">
        <f>IF([1]New_Shift!AA7 = "○","○","")</f>
        <v>○</v>
      </c>
      <c r="AC11" s="14" t="str">
        <f>IF([1]New_Shift!AB7 = "○","○","")</f>
        <v/>
      </c>
      <c r="AD11" s="14" t="str">
        <f>IF([1]New_Shift!AC7 = "○","○","")</f>
        <v/>
      </c>
      <c r="AE11" s="14" t="str">
        <f>IF([1]New_Shift!AD7 = "○","○","")</f>
        <v>○</v>
      </c>
      <c r="AF11" s="14" t="str">
        <f>IF([1]New_Shift!AE7 = "○","○","")</f>
        <v/>
      </c>
      <c r="AG11" s="10">
        <f t="shared" si="0"/>
        <v>13</v>
      </c>
    </row>
    <row r="12" spans="1:33">
      <c r="A12" s="10" t="s">
        <v>9</v>
      </c>
      <c r="B12" s="6" t="str">
        <f>IF(Sheet1!B12 = "◎","◎","　")</f>
        <v>　</v>
      </c>
      <c r="C12" s="14" t="str">
        <f>IF([1]New_Shift!B8 = "○","○","")</f>
        <v/>
      </c>
      <c r="D12" s="14" t="str">
        <f>IF([1]New_Shift!C8 = "○","○","")</f>
        <v>○</v>
      </c>
      <c r="E12" s="14" t="str">
        <f>IF([1]New_Shift!D8 = "○","○","")</f>
        <v/>
      </c>
      <c r="F12" s="14" t="str">
        <f>IF([1]New_Shift!E8 = "○","○","")</f>
        <v/>
      </c>
      <c r="G12" s="14" t="str">
        <f>IF([1]New_Shift!F8 = "○","○","")</f>
        <v/>
      </c>
      <c r="H12" s="14" t="str">
        <f>IF([1]New_Shift!G8 = "○","○","")</f>
        <v/>
      </c>
      <c r="I12" s="14" t="str">
        <f>IF([1]New_Shift!H8 = "○","○","")</f>
        <v/>
      </c>
      <c r="J12" s="14" t="str">
        <f>IF([1]New_Shift!I8 = "○","○","")</f>
        <v/>
      </c>
      <c r="K12" s="14" t="str">
        <f>IF([1]New_Shift!J8 = "○","○","")</f>
        <v/>
      </c>
      <c r="L12" s="14" t="str">
        <f>IF([1]New_Shift!K8 = "○","○","")</f>
        <v/>
      </c>
      <c r="M12" s="14" t="str">
        <f>IF([1]New_Shift!L8 = "○","○","")</f>
        <v/>
      </c>
      <c r="N12" s="14" t="str">
        <f>IF([1]New_Shift!M8 = "○","○","")</f>
        <v/>
      </c>
      <c r="O12" s="14" t="str">
        <f>IF([1]New_Shift!N8 = "○","○","")</f>
        <v/>
      </c>
      <c r="P12" s="14" t="str">
        <f>IF([1]New_Shift!O8 = "○","○","")</f>
        <v/>
      </c>
      <c r="Q12" s="14" t="str">
        <f>IF([1]New_Shift!P8 = "○","○","")</f>
        <v/>
      </c>
      <c r="R12" s="14" t="str">
        <f>IF([1]New_Shift!Q8 = "○","○","")</f>
        <v>○</v>
      </c>
      <c r="S12" s="14" t="str">
        <f>IF([1]New_Shift!R8 = "○","○","")</f>
        <v>○</v>
      </c>
      <c r="T12" s="14" t="str">
        <f>IF([1]New_Shift!S8 = "○","○","")</f>
        <v/>
      </c>
      <c r="U12" s="14" t="str">
        <f>IF([1]New_Shift!T8 = "○","○","")</f>
        <v/>
      </c>
      <c r="V12" s="14" t="str">
        <f>IF([1]New_Shift!U8 = "○","○","")</f>
        <v>○</v>
      </c>
      <c r="W12" s="14" t="str">
        <f>IF([1]New_Shift!V8 = "○","○","")</f>
        <v/>
      </c>
      <c r="X12" s="14" t="str">
        <f>IF([1]New_Shift!W8 = "○","○","")</f>
        <v>○</v>
      </c>
      <c r="Y12" s="14" t="str">
        <f>IF([1]New_Shift!X8 = "○","○","")</f>
        <v>○</v>
      </c>
      <c r="Z12" s="14" t="str">
        <f>IF([1]New_Shift!Y8 = "○","○","")</f>
        <v/>
      </c>
      <c r="AA12" s="14" t="str">
        <f>IF([1]New_Shift!Z8 = "○","○","")</f>
        <v>○</v>
      </c>
      <c r="AB12" s="14" t="str">
        <f>IF([1]New_Shift!AA8 = "○","○","")</f>
        <v>○</v>
      </c>
      <c r="AC12" s="14" t="str">
        <f>IF([1]New_Shift!AB8 = "○","○","")</f>
        <v/>
      </c>
      <c r="AD12" s="14" t="str">
        <f>IF([1]New_Shift!AC8 = "○","○","")</f>
        <v/>
      </c>
      <c r="AE12" s="14" t="str">
        <f>IF([1]New_Shift!AD8 = "○","○","")</f>
        <v/>
      </c>
      <c r="AF12" s="14" t="str">
        <f>IF([1]New_Shift!AE8 = "○","○","")</f>
        <v/>
      </c>
      <c r="AG12" s="10">
        <f t="shared" si="0"/>
        <v>8</v>
      </c>
    </row>
    <row r="13" spans="1:33">
      <c r="A13" s="10" t="s">
        <v>10</v>
      </c>
      <c r="B13" s="6" t="str">
        <f>IF(Sheet1!B13 = "◎","◎","　")</f>
        <v>　</v>
      </c>
      <c r="C13" s="14" t="str">
        <f>IF([1]New_Shift!B9 = "○","○","")</f>
        <v/>
      </c>
      <c r="D13" s="14" t="str">
        <f>IF([1]New_Shift!C9 = "○","○","")</f>
        <v/>
      </c>
      <c r="E13" s="14" t="str">
        <f>IF([1]New_Shift!D9 = "○","○","")</f>
        <v/>
      </c>
      <c r="F13" s="14" t="str">
        <f>IF([1]New_Shift!E9 = "○","○","")</f>
        <v/>
      </c>
      <c r="G13" s="14" t="str">
        <f>IF([1]New_Shift!F9 = "○","○","")</f>
        <v/>
      </c>
      <c r="H13" s="14" t="str">
        <f>IF([1]New_Shift!G9 = "○","○","")</f>
        <v/>
      </c>
      <c r="I13" s="14" t="str">
        <f>IF([1]New_Shift!H9 = "○","○","")</f>
        <v/>
      </c>
      <c r="J13" s="14" t="str">
        <f>IF([1]New_Shift!I9 = "○","○","")</f>
        <v>○</v>
      </c>
      <c r="K13" s="14" t="str">
        <f>IF([1]New_Shift!J9 = "○","○","")</f>
        <v/>
      </c>
      <c r="L13" s="14" t="str">
        <f>IF([1]New_Shift!K9 = "○","○","")</f>
        <v/>
      </c>
      <c r="M13" s="14" t="str">
        <f>IF([1]New_Shift!L9 = "○","○","")</f>
        <v>○</v>
      </c>
      <c r="N13" s="14" t="str">
        <f>IF([1]New_Shift!M9 = "○","○","")</f>
        <v/>
      </c>
      <c r="O13" s="14" t="str">
        <f>IF([1]New_Shift!N9 = "○","○","")</f>
        <v/>
      </c>
      <c r="P13" s="14" t="str">
        <f>IF([1]New_Shift!O9 = "○","○","")</f>
        <v>○</v>
      </c>
      <c r="Q13" s="14" t="str">
        <f>IF([1]New_Shift!P9 = "○","○","")</f>
        <v/>
      </c>
      <c r="R13" s="14" t="str">
        <f>IF([1]New_Shift!Q9 = "○","○","")</f>
        <v/>
      </c>
      <c r="S13" s="14" t="str">
        <f>IF([1]New_Shift!R9 = "○","○","")</f>
        <v>○</v>
      </c>
      <c r="T13" s="14" t="str">
        <f>IF([1]New_Shift!S9 = "○","○","")</f>
        <v/>
      </c>
      <c r="U13" s="14" t="str">
        <f>IF([1]New_Shift!T9 = "○","○","")</f>
        <v/>
      </c>
      <c r="V13" s="14" t="str">
        <f>IF([1]New_Shift!U9 = "○","○","")</f>
        <v>○</v>
      </c>
      <c r="W13" s="14" t="str">
        <f>IF([1]New_Shift!V9 = "○","○","")</f>
        <v>○</v>
      </c>
      <c r="X13" s="14" t="str">
        <f>IF([1]New_Shift!W9 = "○","○","")</f>
        <v/>
      </c>
      <c r="Y13" s="14" t="str">
        <f>IF([1]New_Shift!X9 = "○","○","")</f>
        <v/>
      </c>
      <c r="Z13" s="14" t="str">
        <f>IF([1]New_Shift!Y9 = "○","○","")</f>
        <v/>
      </c>
      <c r="AA13" s="14" t="str">
        <f>IF([1]New_Shift!Z9 = "○","○","")</f>
        <v>○</v>
      </c>
      <c r="AB13" s="14" t="str">
        <f>IF([1]New_Shift!AA9 = "○","○","")</f>
        <v>○</v>
      </c>
      <c r="AC13" s="14" t="str">
        <f>IF([1]New_Shift!AB9 = "○","○","")</f>
        <v/>
      </c>
      <c r="AD13" s="14" t="str">
        <f>IF([1]New_Shift!AC9 = "○","○","")</f>
        <v/>
      </c>
      <c r="AE13" s="14" t="str">
        <f>IF([1]New_Shift!AD9 = "○","○","")</f>
        <v/>
      </c>
      <c r="AF13" s="14" t="str">
        <f>IF([1]New_Shift!AE9 = "○","○","")</f>
        <v/>
      </c>
      <c r="AG13" s="10">
        <f t="shared" si="0"/>
        <v>8</v>
      </c>
    </row>
    <row r="14" spans="1:33">
      <c r="A14" s="10" t="s">
        <v>11</v>
      </c>
      <c r="B14" s="6" t="str">
        <f>IF(Sheet1!B14 = "◎","◎","　")</f>
        <v>　</v>
      </c>
      <c r="C14" s="14" t="str">
        <f>IF([1]New_Shift!B10 = "○","○","")</f>
        <v/>
      </c>
      <c r="D14" s="14" t="str">
        <f>IF([1]New_Shift!C10 = "○","○","")</f>
        <v/>
      </c>
      <c r="E14" s="14" t="str">
        <f>IF([1]New_Shift!D10 = "○","○","")</f>
        <v/>
      </c>
      <c r="F14" s="14" t="str">
        <f>IF([1]New_Shift!E10 = "○","○","")</f>
        <v/>
      </c>
      <c r="G14" s="14" t="str">
        <f>IF([1]New_Shift!F10 = "○","○","")</f>
        <v>○</v>
      </c>
      <c r="H14" s="14" t="str">
        <f>IF([1]New_Shift!G10 = "○","○","")</f>
        <v/>
      </c>
      <c r="I14" s="14" t="str">
        <f>IF([1]New_Shift!H10 = "○","○","")</f>
        <v/>
      </c>
      <c r="J14" s="14" t="str">
        <f>IF([1]New_Shift!I10 = "○","○","")</f>
        <v/>
      </c>
      <c r="K14" s="14" t="str">
        <f>IF([1]New_Shift!J10 = "○","○","")</f>
        <v>○</v>
      </c>
      <c r="L14" s="14" t="str">
        <f>IF([1]New_Shift!K10 = "○","○","")</f>
        <v/>
      </c>
      <c r="M14" s="14" t="str">
        <f>IF([1]New_Shift!L10 = "○","○","")</f>
        <v/>
      </c>
      <c r="N14" s="14" t="str">
        <f>IF([1]New_Shift!M10 = "○","○","")</f>
        <v>○</v>
      </c>
      <c r="O14" s="14" t="str">
        <f>IF([1]New_Shift!N10 = "○","○","")</f>
        <v/>
      </c>
      <c r="P14" s="14" t="str">
        <f>IF([1]New_Shift!O10 = "○","○","")</f>
        <v/>
      </c>
      <c r="Q14" s="14" t="str">
        <f>IF([1]New_Shift!P10 = "○","○","")</f>
        <v>○</v>
      </c>
      <c r="R14" s="14" t="str">
        <f>IF([1]New_Shift!Q10 = "○","○","")</f>
        <v/>
      </c>
      <c r="S14" s="14" t="str">
        <f>IF([1]New_Shift!R10 = "○","○","")</f>
        <v/>
      </c>
      <c r="T14" s="14" t="str">
        <f>IF([1]New_Shift!S10 = "○","○","")</f>
        <v>○</v>
      </c>
      <c r="U14" s="14" t="str">
        <f>IF([1]New_Shift!T10 = "○","○","")</f>
        <v/>
      </c>
      <c r="V14" s="14" t="str">
        <f>IF([1]New_Shift!U10 = "○","○","")</f>
        <v/>
      </c>
      <c r="W14" s="14" t="str">
        <f>IF([1]New_Shift!V10 = "○","○","")</f>
        <v/>
      </c>
      <c r="X14" s="14" t="str">
        <f>IF([1]New_Shift!W10 = "○","○","")</f>
        <v/>
      </c>
      <c r="Y14" s="14" t="str">
        <f>IF([1]New_Shift!X10 = "○","○","")</f>
        <v>○</v>
      </c>
      <c r="Z14" s="14" t="str">
        <f>IF([1]New_Shift!Y10 = "○","○","")</f>
        <v>○</v>
      </c>
      <c r="AA14" s="14" t="str">
        <f>IF([1]New_Shift!Z10 = "○","○","")</f>
        <v/>
      </c>
      <c r="AB14" s="14" t="str">
        <f>IF([1]New_Shift!AA10 = "○","○","")</f>
        <v/>
      </c>
      <c r="AC14" s="14" t="str">
        <f>IF([1]New_Shift!AB10 = "○","○","")</f>
        <v/>
      </c>
      <c r="AD14" s="14" t="str">
        <f>IF([1]New_Shift!AC10 = "○","○","")</f>
        <v>○</v>
      </c>
      <c r="AE14" s="14" t="str">
        <f>IF([1]New_Shift!AD10 = "○","○","")</f>
        <v/>
      </c>
      <c r="AF14" s="14" t="str">
        <f>IF([1]New_Shift!AE10 = "○","○","")</f>
        <v>○</v>
      </c>
      <c r="AG14" s="10">
        <f t="shared" si="0"/>
        <v>9</v>
      </c>
    </row>
    <row r="15" spans="1:33">
      <c r="A15" s="10" t="s">
        <v>12</v>
      </c>
      <c r="B15" s="6" t="str">
        <f>IF(Sheet1!B15 = "◎","◎","　")</f>
        <v>　</v>
      </c>
      <c r="C15" s="14" t="str">
        <f>IF([1]New_Shift!B11 = "○","○","")</f>
        <v/>
      </c>
      <c r="D15" s="14" t="str">
        <f>IF([1]New_Shift!C11 = "○","○","")</f>
        <v/>
      </c>
      <c r="E15" s="14" t="str">
        <f>IF([1]New_Shift!D11 = "○","○","")</f>
        <v/>
      </c>
      <c r="F15" s="14" t="str">
        <f>IF([1]New_Shift!E11 = "○","○","")</f>
        <v/>
      </c>
      <c r="G15" s="14" t="str">
        <f>IF([1]New_Shift!F11 = "○","○","")</f>
        <v/>
      </c>
      <c r="H15" s="14" t="str">
        <f>IF([1]New_Shift!G11 = "○","○","")</f>
        <v/>
      </c>
      <c r="I15" s="14" t="str">
        <f>IF([1]New_Shift!H11 = "○","○","")</f>
        <v/>
      </c>
      <c r="J15" s="14" t="str">
        <f>IF([1]New_Shift!I11 = "○","○","")</f>
        <v/>
      </c>
      <c r="K15" s="14" t="str">
        <f>IF([1]New_Shift!J11 = "○","○","")</f>
        <v/>
      </c>
      <c r="L15" s="14" t="str">
        <f>IF([1]New_Shift!K11 = "○","○","")</f>
        <v>○</v>
      </c>
      <c r="M15" s="14" t="str">
        <f>IF([1]New_Shift!L11 = "○","○","")</f>
        <v/>
      </c>
      <c r="N15" s="14" t="str">
        <f>IF([1]New_Shift!M11 = "○","○","")</f>
        <v/>
      </c>
      <c r="O15" s="14" t="str">
        <f>IF([1]New_Shift!N11 = "○","○","")</f>
        <v/>
      </c>
      <c r="P15" s="14" t="str">
        <f>IF([1]New_Shift!O11 = "○","○","")</f>
        <v>○</v>
      </c>
      <c r="Q15" s="14" t="str">
        <f>IF([1]New_Shift!P11 = "○","○","")</f>
        <v/>
      </c>
      <c r="R15" s="14" t="str">
        <f>IF([1]New_Shift!Q11 = "○","○","")</f>
        <v/>
      </c>
      <c r="S15" s="14" t="str">
        <f>IF([1]New_Shift!R11 = "○","○","")</f>
        <v>○</v>
      </c>
      <c r="T15" s="14" t="str">
        <f>IF([1]New_Shift!S11 = "○","○","")</f>
        <v>○</v>
      </c>
      <c r="U15" s="14"/>
      <c r="V15" s="14" t="str">
        <f>IF([1]New_Shift!U11 = "○","○","")</f>
        <v>○</v>
      </c>
      <c r="W15" s="14" t="str">
        <f>IF([1]New_Shift!V11 = "○","○","")</f>
        <v>○</v>
      </c>
      <c r="X15" s="14" t="str">
        <f>IF([1]New_Shift!W11 = "○","○","")</f>
        <v>○</v>
      </c>
      <c r="Y15" s="14" t="str">
        <f>IF([1]New_Shift!X11 = "○","○","")</f>
        <v/>
      </c>
      <c r="Z15" s="14" t="str">
        <f>IF([1]New_Shift!Y11 = "○","○","")</f>
        <v/>
      </c>
      <c r="AA15" s="14" t="str">
        <f>IF([1]New_Shift!Z11 = "○","○","")</f>
        <v/>
      </c>
      <c r="AB15" s="14" t="str">
        <f>IF([1]New_Shift!AA11 = "○","○","")</f>
        <v/>
      </c>
      <c r="AC15" s="14" t="str">
        <f>IF([1]New_Shift!AB11 = "○","○","")</f>
        <v>○</v>
      </c>
      <c r="AD15" s="14" t="str">
        <f>IF([1]New_Shift!AC11 = "○","○","")</f>
        <v>○</v>
      </c>
      <c r="AE15" s="14" t="str">
        <f>IF([1]New_Shift!AD11 = "○","○","")</f>
        <v/>
      </c>
      <c r="AF15" s="14" t="str">
        <f>IF([1]New_Shift!AE11 = "○","○","")</f>
        <v>○</v>
      </c>
      <c r="AG15" s="10">
        <f t="shared" si="0"/>
        <v>10</v>
      </c>
    </row>
    <row r="16" spans="1:33">
      <c r="A16" s="16"/>
      <c r="B16" s="9" t="s">
        <v>13</v>
      </c>
      <c r="C16" s="10">
        <f>Sheet1!C16</f>
        <v>2</v>
      </c>
      <c r="D16" s="10">
        <f>Sheet1!D16</f>
        <v>3</v>
      </c>
      <c r="E16" s="10">
        <f>Sheet1!E16</f>
        <v>3</v>
      </c>
      <c r="F16" s="10">
        <f>Sheet1!F16</f>
        <v>2</v>
      </c>
      <c r="G16" s="10">
        <f>Sheet1!G16</f>
        <v>3</v>
      </c>
      <c r="H16" s="10">
        <f>Sheet1!H16</f>
        <v>3</v>
      </c>
      <c r="I16" s="10">
        <f>Sheet1!I16</f>
        <v>2</v>
      </c>
      <c r="J16" s="10">
        <f>Sheet1!J16</f>
        <v>3</v>
      </c>
      <c r="K16" s="10">
        <f>Sheet1!K16</f>
        <v>3</v>
      </c>
      <c r="L16" s="10">
        <f>Sheet1!L16</f>
        <v>2</v>
      </c>
      <c r="M16" s="10">
        <f>Sheet1!M16</f>
        <v>2</v>
      </c>
      <c r="N16" s="10">
        <f>Sheet1!N16</f>
        <v>2</v>
      </c>
      <c r="O16" s="10">
        <f>Sheet1!O16</f>
        <v>2</v>
      </c>
      <c r="P16" s="10">
        <f>Sheet1!P16</f>
        <v>3</v>
      </c>
      <c r="Q16" s="10">
        <f>Sheet1!Q16</f>
        <v>3</v>
      </c>
      <c r="R16" s="10">
        <f>Sheet1!R16</f>
        <v>2</v>
      </c>
      <c r="S16" s="10">
        <f>Sheet1!S16</f>
        <v>4</v>
      </c>
      <c r="T16" s="10">
        <f>Sheet1!T16</f>
        <v>4</v>
      </c>
      <c r="U16" s="10">
        <f>Sheet1!U16</f>
        <v>2</v>
      </c>
      <c r="V16" s="10">
        <f>Sheet1!V16</f>
        <v>4</v>
      </c>
      <c r="W16" s="10">
        <f>Sheet1!W16</f>
        <v>4</v>
      </c>
      <c r="X16" s="10">
        <f>Sheet1!X16</f>
        <v>4</v>
      </c>
      <c r="Y16" s="10">
        <f>Sheet1!Y16</f>
        <v>4</v>
      </c>
      <c r="Z16" s="10">
        <f>Sheet1!Z16</f>
        <v>4</v>
      </c>
      <c r="AA16" s="10">
        <f>Sheet1!AA16</f>
        <v>4</v>
      </c>
      <c r="AB16" s="10">
        <f>Sheet1!AB16</f>
        <v>4</v>
      </c>
      <c r="AC16" s="10">
        <f>Sheet1!AC16</f>
        <v>3</v>
      </c>
      <c r="AD16" s="10">
        <f>Sheet1!AD16</f>
        <v>3</v>
      </c>
      <c r="AE16" s="10">
        <f>Sheet1!AE16</f>
        <v>3</v>
      </c>
      <c r="AF16" s="10">
        <f>Sheet1!AF16</f>
        <v>3</v>
      </c>
    </row>
    <row r="17" spans="1:32">
      <c r="A17" s="6"/>
      <c r="B17" s="8" t="s">
        <v>14</v>
      </c>
      <c r="C17" s="10">
        <f>COUNTIF(C6:C15,"○")</f>
        <v>2</v>
      </c>
      <c r="D17" s="10">
        <f>COUNTIF(D6:D15,"○")</f>
        <v>3</v>
      </c>
      <c r="E17" s="10">
        <f t="shared" ref="E17:AF17" si="1">COUNTIF(E6:E15,"○")</f>
        <v>3</v>
      </c>
      <c r="F17" s="10">
        <f t="shared" si="1"/>
        <v>2</v>
      </c>
      <c r="G17" s="10">
        <f t="shared" si="1"/>
        <v>3</v>
      </c>
      <c r="H17" s="10">
        <f t="shared" si="1"/>
        <v>3</v>
      </c>
      <c r="I17" s="10">
        <f t="shared" si="1"/>
        <v>2</v>
      </c>
      <c r="J17" s="10">
        <f t="shared" si="1"/>
        <v>3</v>
      </c>
      <c r="K17" s="10">
        <f t="shared" si="1"/>
        <v>3</v>
      </c>
      <c r="L17" s="10">
        <f t="shared" si="1"/>
        <v>2</v>
      </c>
      <c r="M17" s="10">
        <f t="shared" si="1"/>
        <v>2</v>
      </c>
      <c r="N17" s="10">
        <f t="shared" si="1"/>
        <v>2</v>
      </c>
      <c r="O17" s="10">
        <f t="shared" si="1"/>
        <v>2</v>
      </c>
      <c r="P17" s="10">
        <f t="shared" si="1"/>
        <v>3</v>
      </c>
      <c r="Q17" s="10">
        <f t="shared" si="1"/>
        <v>3</v>
      </c>
      <c r="R17" s="10">
        <f t="shared" si="1"/>
        <v>2</v>
      </c>
      <c r="S17" s="10">
        <f t="shared" si="1"/>
        <v>4</v>
      </c>
      <c r="T17" s="10">
        <f t="shared" si="1"/>
        <v>4</v>
      </c>
      <c r="U17" s="10">
        <f t="shared" si="1"/>
        <v>1</v>
      </c>
      <c r="V17" s="10">
        <f t="shared" si="1"/>
        <v>4</v>
      </c>
      <c r="W17" s="10">
        <f t="shared" si="1"/>
        <v>4</v>
      </c>
      <c r="X17" s="10">
        <f t="shared" si="1"/>
        <v>4</v>
      </c>
      <c r="Y17" s="10">
        <f t="shared" si="1"/>
        <v>4</v>
      </c>
      <c r="Z17" s="10">
        <f t="shared" si="1"/>
        <v>4</v>
      </c>
      <c r="AA17" s="10">
        <f t="shared" si="1"/>
        <v>4</v>
      </c>
      <c r="AB17" s="10">
        <f t="shared" si="1"/>
        <v>4</v>
      </c>
      <c r="AC17" s="10">
        <f t="shared" si="1"/>
        <v>3</v>
      </c>
      <c r="AD17" s="10">
        <f t="shared" si="1"/>
        <v>3</v>
      </c>
      <c r="AE17" s="10">
        <f t="shared" si="1"/>
        <v>3</v>
      </c>
      <c r="AF17" s="10">
        <f t="shared" si="1"/>
        <v>3</v>
      </c>
    </row>
  </sheetData>
  <phoneticPr fontId="1"/>
  <conditionalFormatting sqref="C17:AF17">
    <cfRule type="expression" dxfId="3" priority="3">
      <formula>C16&lt;&gt;C17</formula>
    </cfRule>
  </conditionalFormatting>
  <conditionalFormatting sqref="C6:AF15">
    <cfRule type="cellIs" dxfId="2" priority="1" operator="equal">
      <formula>"○"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Macro6">
                <anchor moveWithCells="1" sizeWithCells="1">
                  <from>
                    <xdr:col>15</xdr:col>
                    <xdr:colOff>241300</xdr:colOff>
                    <xdr:row>1</xdr:row>
                    <xdr:rowOff>0</xdr:rowOff>
                  </from>
                  <to>
                    <xdr:col>20</xdr:col>
                    <xdr:colOff>241300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49AB4F8-B3F8-8F44-BF6D-88B785EE72DE}">
            <xm:f>C6&lt;&gt;Sheet1!C6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C6:AF15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1A935-2560-AD4B-8BA9-20D098D963AC}">
  <sheetPr codeName="Sheet2"/>
  <dimension ref="A4:AG17"/>
  <sheetViews>
    <sheetView workbookViewId="0">
      <selection activeCell="H23" sqref="H23"/>
    </sheetView>
  </sheetViews>
  <sheetFormatPr baseColWidth="10" defaultRowHeight="20"/>
  <cols>
    <col min="1" max="1" width="5.140625" bestFit="1" customWidth="1"/>
    <col min="2" max="2" width="8.5703125" bestFit="1" customWidth="1"/>
    <col min="3" max="4" width="3.7109375" bestFit="1" customWidth="1"/>
    <col min="5" max="17" width="3.42578125" bestFit="1" customWidth="1"/>
    <col min="18" max="18" width="3.7109375" bestFit="1" customWidth="1"/>
    <col min="19" max="20" width="3.42578125" bestFit="1" customWidth="1"/>
    <col min="21" max="32" width="3.7109375" bestFit="1" customWidth="1"/>
    <col min="33" max="33" width="10.28515625" bestFit="1" customWidth="1"/>
  </cols>
  <sheetData>
    <row r="4" spans="1:33">
      <c r="A4" s="11" t="s">
        <v>0</v>
      </c>
      <c r="B4" s="2" t="s">
        <v>1</v>
      </c>
      <c r="C4" s="10" t="s">
        <v>2</v>
      </c>
      <c r="D4" s="10" t="s">
        <v>2</v>
      </c>
      <c r="E4" s="10" t="s">
        <v>15</v>
      </c>
      <c r="F4" s="10" t="s">
        <v>15</v>
      </c>
      <c r="G4" s="10" t="s">
        <v>16</v>
      </c>
      <c r="H4" s="10" t="s">
        <v>17</v>
      </c>
      <c r="I4" s="10" t="s">
        <v>18</v>
      </c>
      <c r="J4" s="10" t="s">
        <v>19</v>
      </c>
      <c r="K4" s="10" t="s">
        <v>20</v>
      </c>
      <c r="L4" s="10" t="s">
        <v>21</v>
      </c>
      <c r="M4" s="10" t="s">
        <v>22</v>
      </c>
      <c r="N4" s="10" t="s">
        <v>22</v>
      </c>
      <c r="O4" s="10" t="s">
        <v>23</v>
      </c>
      <c r="P4" s="10" t="s">
        <v>24</v>
      </c>
      <c r="Q4" s="10" t="s">
        <v>2</v>
      </c>
      <c r="R4" s="10" t="s">
        <v>2</v>
      </c>
      <c r="S4" s="10" t="s">
        <v>15</v>
      </c>
      <c r="T4" s="10" t="s">
        <v>15</v>
      </c>
      <c r="U4" s="10" t="s">
        <v>16</v>
      </c>
      <c r="V4" s="10" t="s">
        <v>17</v>
      </c>
      <c r="W4" s="10" t="s">
        <v>18</v>
      </c>
      <c r="X4" s="10" t="s">
        <v>19</v>
      </c>
      <c r="Y4" s="10" t="s">
        <v>20</v>
      </c>
      <c r="Z4" s="10" t="s">
        <v>21</v>
      </c>
      <c r="AA4" s="10" t="s">
        <v>22</v>
      </c>
      <c r="AB4" s="10" t="s">
        <v>22</v>
      </c>
      <c r="AC4" s="10" t="s">
        <v>23</v>
      </c>
      <c r="AD4" s="10" t="s">
        <v>24</v>
      </c>
      <c r="AE4" s="10" t="s">
        <v>2</v>
      </c>
      <c r="AF4" s="10" t="s">
        <v>2</v>
      </c>
      <c r="AG4" s="3" t="s">
        <v>27</v>
      </c>
    </row>
    <row r="5" spans="1:33">
      <c r="A5" s="13"/>
      <c r="B5" s="6"/>
      <c r="C5" s="14">
        <v>1</v>
      </c>
      <c r="D5" s="14">
        <v>1</v>
      </c>
      <c r="E5" s="14">
        <v>2</v>
      </c>
      <c r="F5" s="14">
        <v>2</v>
      </c>
      <c r="G5" s="14">
        <v>3</v>
      </c>
      <c r="H5" s="14">
        <v>3</v>
      </c>
      <c r="I5" s="14">
        <v>4</v>
      </c>
      <c r="J5" s="14">
        <v>4</v>
      </c>
      <c r="K5" s="14">
        <v>5</v>
      </c>
      <c r="L5" s="14">
        <v>5</v>
      </c>
      <c r="M5" s="14">
        <v>6</v>
      </c>
      <c r="N5" s="14">
        <v>6</v>
      </c>
      <c r="O5" s="14">
        <v>7</v>
      </c>
      <c r="P5" s="14">
        <v>7</v>
      </c>
      <c r="Q5" s="14">
        <v>8</v>
      </c>
      <c r="R5" s="14">
        <v>8</v>
      </c>
      <c r="S5" s="14">
        <v>9</v>
      </c>
      <c r="T5" s="14">
        <v>9</v>
      </c>
      <c r="U5" s="14">
        <v>10</v>
      </c>
      <c r="V5" s="14">
        <v>10</v>
      </c>
      <c r="W5" s="14">
        <v>11</v>
      </c>
      <c r="X5" s="14">
        <v>11</v>
      </c>
      <c r="Y5" s="14">
        <v>12</v>
      </c>
      <c r="Z5" s="14">
        <v>12</v>
      </c>
      <c r="AA5" s="14">
        <v>13</v>
      </c>
      <c r="AB5" s="14">
        <v>13</v>
      </c>
      <c r="AC5" s="14">
        <v>14</v>
      </c>
      <c r="AD5" s="14">
        <v>14</v>
      </c>
      <c r="AE5" s="14">
        <v>15</v>
      </c>
      <c r="AF5" s="14">
        <v>15</v>
      </c>
      <c r="AG5" s="5"/>
    </row>
    <row r="6" spans="1:33">
      <c r="A6" s="10" t="s">
        <v>3</v>
      </c>
      <c r="B6" s="12" t="str">
        <f>IF(Sheet1!B6 = "◎","◎","　")</f>
        <v>◎</v>
      </c>
      <c r="C6" s="14" t="str">
        <f>IF([1]New_Shift!B2 = "○","○","")</f>
        <v/>
      </c>
      <c r="D6" s="14" t="str">
        <f>IF([1]New_Shift!C2 = "○","○","")</f>
        <v/>
      </c>
      <c r="E6" s="14" t="str">
        <f>IF([1]New_Shift!D2 = "○","○","")</f>
        <v/>
      </c>
      <c r="F6" s="14" t="str">
        <f>IF([1]New_Shift!E2 = "○","○","")</f>
        <v>○</v>
      </c>
      <c r="G6" s="14" t="str">
        <f>IF([1]New_Shift!F2 = "○","○","")</f>
        <v/>
      </c>
      <c r="H6" s="14" t="str">
        <f>IF([1]New_Shift!G2 = "○","○","")</f>
        <v/>
      </c>
      <c r="I6" s="14" t="str">
        <f>IF([1]New_Shift!H2 = "○","○","")</f>
        <v>○</v>
      </c>
      <c r="J6" s="14" t="str">
        <f>IF([1]New_Shift!I2 = "○","○","")</f>
        <v/>
      </c>
      <c r="K6" s="14" t="str">
        <f>IF([1]New_Shift!J2 = "○","○","")</f>
        <v/>
      </c>
      <c r="L6" s="14" t="str">
        <f>IF([1]New_Shift!K2 = "○","○","")</f>
        <v>○</v>
      </c>
      <c r="M6" s="14" t="str">
        <f>IF([1]New_Shift!L2 = "○","○","")</f>
        <v/>
      </c>
      <c r="N6" s="14" t="str">
        <f>IF([1]New_Shift!M2 = "○","○","")</f>
        <v/>
      </c>
      <c r="O6" s="14" t="str">
        <f>IF([1]New_Shift!N2 = "○","○","")</f>
        <v/>
      </c>
      <c r="P6" s="14" t="str">
        <f>IF([1]New_Shift!O2 = "○","○","")</f>
        <v/>
      </c>
      <c r="Q6" s="14" t="str">
        <f>IF([1]New_Shift!P2 = "○","○","")</f>
        <v/>
      </c>
      <c r="R6" s="14" t="str">
        <f>IF([1]New_Shift!Q2 = "○","○","")</f>
        <v>○</v>
      </c>
      <c r="S6" s="14" t="str">
        <f>IF([1]New_Shift!R2 = "○","○","")</f>
        <v/>
      </c>
      <c r="T6" s="14" t="str">
        <f>IF([1]New_Shift!S2 = "○","○","")</f>
        <v/>
      </c>
      <c r="U6" s="14" t="str">
        <f>IF([1]New_Shift!T2 = "○","○","")</f>
        <v>○</v>
      </c>
      <c r="V6" s="14" t="str">
        <f>IF([1]New_Shift!U2 = "○","○","")</f>
        <v/>
      </c>
      <c r="W6" s="14" t="str">
        <f>IF([1]New_Shift!V2 = "○","○","")</f>
        <v>○</v>
      </c>
      <c r="X6" s="14" t="str">
        <f>IF([1]New_Shift!W2 = "○","○","")</f>
        <v>○</v>
      </c>
      <c r="Y6" s="14" t="str">
        <f>IF([1]New_Shift!X2 = "○","○","")</f>
        <v/>
      </c>
      <c r="Z6" s="14" t="str">
        <f>IF([1]New_Shift!Y2 = "○","○","")</f>
        <v/>
      </c>
      <c r="AA6" s="14" t="str">
        <f>IF([1]New_Shift!Z2 = "○","○","")</f>
        <v/>
      </c>
      <c r="AB6" s="14" t="str">
        <f>IF([1]New_Shift!AA2 = "○","○","")</f>
        <v/>
      </c>
      <c r="AC6" s="14" t="str">
        <f>IF([1]New_Shift!AB2 = "○","○","")</f>
        <v/>
      </c>
      <c r="AD6" s="14" t="str">
        <f>IF([1]New_Shift!AC2 = "○","○","")</f>
        <v/>
      </c>
      <c r="AE6" s="14" t="str">
        <f>IF([1]New_Shift!AD2 = "○","○","")</f>
        <v>○</v>
      </c>
      <c r="AF6" s="14" t="str">
        <f>IF([1]New_Shift!AE2 = "○","○","")</f>
        <v>○</v>
      </c>
      <c r="AG6" s="10">
        <f>COUNTIF(C6:AF6,"○")</f>
        <v>9</v>
      </c>
    </row>
    <row r="7" spans="1:33">
      <c r="A7" s="10" t="s">
        <v>4</v>
      </c>
      <c r="B7" s="12" t="str">
        <f>IF(Sheet1!B7 = "◎","◎", "")</f>
        <v>◎</v>
      </c>
      <c r="C7" s="14" t="str">
        <f>IF([1]New_Shift!B3 = "○","○","")</f>
        <v>○</v>
      </c>
      <c r="D7" s="14" t="str">
        <f>IF([1]New_Shift!C3 = "○","○","")</f>
        <v/>
      </c>
      <c r="E7" s="14" t="str">
        <f>IF([1]New_Shift!D3 = "○","○","")</f>
        <v>○</v>
      </c>
      <c r="F7" s="14" t="str">
        <f>IF([1]New_Shift!E3 = "○","○","")</f>
        <v/>
      </c>
      <c r="G7" s="14" t="str">
        <f>IF([1]New_Shift!F3 = "○","○","")</f>
        <v/>
      </c>
      <c r="H7" s="14" t="str">
        <f>IF([1]New_Shift!G3 = "○","○","")</f>
        <v/>
      </c>
      <c r="I7" s="14" t="str">
        <f>IF([1]New_Shift!H3 = "○","○","")</f>
        <v/>
      </c>
      <c r="J7" s="14" t="str">
        <f>IF([1]New_Shift!I3 = "○","○","")</f>
        <v>○</v>
      </c>
      <c r="K7" s="14" t="str">
        <f>IF([1]New_Shift!J3 = "○","○","")</f>
        <v>○</v>
      </c>
      <c r="L7" s="14" t="str">
        <f>IF([1]New_Shift!K3 = "○","○","")</f>
        <v/>
      </c>
      <c r="M7" s="14" t="str">
        <f>IF([1]New_Shift!L3 = "○","○","")</f>
        <v/>
      </c>
      <c r="N7" s="14" t="str">
        <f>IF([1]New_Shift!M3 = "○","○","")</f>
        <v/>
      </c>
      <c r="O7" s="14" t="str">
        <f>IF([1]New_Shift!N3 = "○","○","")</f>
        <v>○</v>
      </c>
      <c r="P7" s="14" t="str">
        <f>IF([1]New_Shift!O3 = "○","○","")</f>
        <v>○</v>
      </c>
      <c r="Q7" s="14" t="str">
        <f>IF([1]New_Shift!P3 = "○","○","")</f>
        <v>○</v>
      </c>
      <c r="R7" s="14" t="str">
        <f>IF([1]New_Shift!Q3 = "○","○","")</f>
        <v/>
      </c>
      <c r="S7" s="14" t="str">
        <f>IF([1]New_Shift!R3 = "○","○","")</f>
        <v/>
      </c>
      <c r="T7" s="14" t="str">
        <f>IF([1]New_Shift!S3 = "○","○","")</f>
        <v/>
      </c>
      <c r="U7" s="14" t="str">
        <f>IF([1]New_Shift!T3 = "○","○","")</f>
        <v/>
      </c>
      <c r="V7" s="14" t="str">
        <f>IF([1]New_Shift!U3 = "○","○","")</f>
        <v/>
      </c>
      <c r="W7" s="14" t="str">
        <f>IF([1]New_Shift!V3 = "○","○","")</f>
        <v/>
      </c>
      <c r="X7" s="14" t="str">
        <f>IF([1]New_Shift!W3 = "○","○","")</f>
        <v/>
      </c>
      <c r="Y7" s="14" t="str">
        <f>IF([1]New_Shift!X3 = "○","○","")</f>
        <v/>
      </c>
      <c r="Z7" s="14" t="str">
        <f>IF([1]New_Shift!Y3 = "○","○","")</f>
        <v/>
      </c>
      <c r="AA7" s="14" t="str">
        <f>IF([1]New_Shift!Z3 = "○","○","")</f>
        <v/>
      </c>
      <c r="AB7" s="14" t="str">
        <f>IF([1]New_Shift!AA3 = "○","○","")</f>
        <v>○</v>
      </c>
      <c r="AC7" s="14" t="str">
        <f>IF([1]New_Shift!AB3 = "○","○","")</f>
        <v/>
      </c>
      <c r="AD7" s="14" t="str">
        <f>IF([1]New_Shift!AC3 = "○","○","")</f>
        <v>○</v>
      </c>
      <c r="AE7" s="14" t="str">
        <f>IF([1]New_Shift!AD3 = "○","○","")</f>
        <v/>
      </c>
      <c r="AF7" s="14" t="str">
        <f>IF([1]New_Shift!AE3 = "○","○","")</f>
        <v/>
      </c>
      <c r="AG7" s="10">
        <f t="shared" ref="AG7:AG15" si="0">COUNTIF(C7:AF7,"○")</f>
        <v>9</v>
      </c>
    </row>
    <row r="8" spans="1:33">
      <c r="A8" s="10" t="s">
        <v>5</v>
      </c>
      <c r="B8" s="12" t="str">
        <f>IF(Sheet1!B8 = "◎","◎","")</f>
        <v>◎</v>
      </c>
      <c r="C8" s="14" t="str">
        <f>IF([1]New_Shift!B4 = "○","○","")</f>
        <v/>
      </c>
      <c r="D8" s="14" t="str">
        <f>IF([1]New_Shift!C4 = "○","○","")</f>
        <v>○</v>
      </c>
      <c r="E8" s="14" t="str">
        <f>IF([1]New_Shift!D4 = "○","○","")</f>
        <v/>
      </c>
      <c r="F8" s="14" t="str">
        <f>IF([1]New_Shift!E4 = "○","○","")</f>
        <v/>
      </c>
      <c r="G8" s="14" t="str">
        <f>IF([1]New_Shift!F4 = "○","○","")</f>
        <v>○</v>
      </c>
      <c r="H8" s="14" t="str">
        <f>IF([1]New_Shift!G4 = "○","○","")</f>
        <v/>
      </c>
      <c r="I8" s="14" t="str">
        <f>IF([1]New_Shift!H4 = "○","○","")</f>
        <v/>
      </c>
      <c r="J8" s="14" t="str">
        <f>IF([1]New_Shift!I4 = "○","○","")</f>
        <v/>
      </c>
      <c r="K8" s="14" t="str">
        <f>IF([1]New_Shift!J4 = "○","○","")</f>
        <v/>
      </c>
      <c r="L8" s="14" t="str">
        <f>IF([1]New_Shift!K4 = "○","○","")</f>
        <v/>
      </c>
      <c r="M8" s="14" t="str">
        <f>IF([1]New_Shift!L4 = "○","○","")</f>
        <v/>
      </c>
      <c r="N8" s="14" t="str">
        <f>IF([1]New_Shift!M4 = "○","○","")</f>
        <v/>
      </c>
      <c r="O8" s="14" t="str">
        <f>IF([1]New_Shift!N4 = "○","○","")</f>
        <v/>
      </c>
      <c r="P8" s="14" t="str">
        <f>IF([1]New_Shift!O4 = "○","○","")</f>
        <v/>
      </c>
      <c r="Q8" s="14" t="str">
        <f>IF([1]New_Shift!P4 = "○","○","")</f>
        <v/>
      </c>
      <c r="R8" s="14" t="str">
        <f>IF([1]New_Shift!Q4 = "○","○","")</f>
        <v/>
      </c>
      <c r="S8" s="14" t="str">
        <f>IF([1]New_Shift!R4 = "○","○","")</f>
        <v>○</v>
      </c>
      <c r="T8" s="14" t="str">
        <f>IF([1]New_Shift!S4 = "○","○","")</f>
        <v>○</v>
      </c>
      <c r="U8" s="14" t="str">
        <f>IF([1]New_Shift!T4 = "○","○","")</f>
        <v/>
      </c>
      <c r="V8" s="14" t="str">
        <f>IF([1]New_Shift!U4 = "○","○","")</f>
        <v>○</v>
      </c>
      <c r="W8" s="14" t="str">
        <f>IF([1]New_Shift!V4 = "○","○","")</f>
        <v/>
      </c>
      <c r="X8" s="14" t="str">
        <f>IF([1]New_Shift!W4 = "○","○","")</f>
        <v/>
      </c>
      <c r="Y8" s="14" t="str">
        <f>IF([1]New_Shift!X4 = "○","○","")</f>
        <v>○</v>
      </c>
      <c r="Z8" s="14" t="str">
        <f>IF([1]New_Shift!Y4 = "○","○","")</f>
        <v>○</v>
      </c>
      <c r="AA8" s="14" t="str">
        <f>IF([1]New_Shift!Z4 = "○","○","")</f>
        <v>○</v>
      </c>
      <c r="AB8" s="14" t="str">
        <f>IF([1]New_Shift!AA4 = "○","○","")</f>
        <v/>
      </c>
      <c r="AC8" s="14" t="str">
        <f>IF([1]New_Shift!AB4 = "○","○","")</f>
        <v>○</v>
      </c>
      <c r="AD8" s="14" t="str">
        <f>IF([1]New_Shift!AC4 = "○","○","")</f>
        <v/>
      </c>
      <c r="AE8" s="14" t="str">
        <f>IF([1]New_Shift!AD4 = "○","○","")</f>
        <v/>
      </c>
      <c r="AF8" s="14" t="str">
        <f>IF([1]New_Shift!AE4 = "○","○","")</f>
        <v/>
      </c>
      <c r="AG8" s="10">
        <f t="shared" si="0"/>
        <v>9</v>
      </c>
    </row>
    <row r="9" spans="1:33">
      <c r="A9" s="10" t="s">
        <v>6</v>
      </c>
      <c r="B9" s="12" t="str">
        <f>IF(Sheet1!B9 = "◎","◎"," ")</f>
        <v xml:space="preserve"> </v>
      </c>
      <c r="C9" s="14" t="str">
        <f>IF([1]New_Shift!B5 = "○","○","")</f>
        <v>○</v>
      </c>
      <c r="D9" s="14" t="str">
        <f>IF([1]New_Shift!C5 = "○","○","")</f>
        <v/>
      </c>
      <c r="E9" s="14" t="str">
        <f>IF([1]New_Shift!D5 = "○","○","")</f>
        <v>○</v>
      </c>
      <c r="F9" s="14" t="str">
        <f>IF([1]New_Shift!E5 = "○","○","")</f>
        <v>○</v>
      </c>
      <c r="G9" s="14" t="str">
        <f>IF([1]New_Shift!F5 = "○","○","")</f>
        <v/>
      </c>
      <c r="H9" s="14" t="str">
        <f>IF([1]New_Shift!G5 = "○","○","")</f>
        <v>○</v>
      </c>
      <c r="I9" s="14" t="str">
        <f>IF([1]New_Shift!H5 = "○","○","")</f>
        <v/>
      </c>
      <c r="J9" s="14" t="str">
        <f>IF([1]New_Shift!I5 = "○","○","")</f>
        <v/>
      </c>
      <c r="K9" s="14" t="str">
        <f>IF([1]New_Shift!J5 = "○","○","")</f>
        <v/>
      </c>
      <c r="L9" s="14" t="str">
        <f>IF([1]New_Shift!K5 = "○","○","")</f>
        <v/>
      </c>
      <c r="M9" s="14" t="str">
        <f>IF([1]New_Shift!L5 = "○","○","")</f>
        <v/>
      </c>
      <c r="N9" s="14" t="str">
        <f>IF([1]New_Shift!M5 = "○","○","")</f>
        <v/>
      </c>
      <c r="O9" s="14" t="str">
        <f>IF([1]New_Shift!N5 = "○","○","")</f>
        <v/>
      </c>
      <c r="P9" s="14" t="str">
        <f>IF([1]New_Shift!O5 = "○","○","")</f>
        <v/>
      </c>
      <c r="Q9" s="14" t="str">
        <f>IF([1]New_Shift!P5 = "○","○","")</f>
        <v/>
      </c>
      <c r="R9" s="14" t="str">
        <f>IF([1]New_Shift!Q5 = "○","○","")</f>
        <v/>
      </c>
      <c r="S9" s="14" t="str">
        <f>IF([1]New_Shift!R5 = "○","○","")</f>
        <v/>
      </c>
      <c r="T9" s="14" t="str">
        <f>IF([1]New_Shift!S5 = "○","○","")</f>
        <v/>
      </c>
      <c r="U9" s="14" t="str">
        <f>IF([1]New_Shift!T5 = "○","○","")</f>
        <v/>
      </c>
      <c r="V9" s="14" t="str">
        <f>IF([1]New_Shift!U5 = "○","○","")</f>
        <v/>
      </c>
      <c r="W9" s="14" t="str">
        <f>IF([1]New_Shift!V5 = "○","○","")</f>
        <v/>
      </c>
      <c r="X9" s="14" t="str">
        <f>IF([1]New_Shift!W5 = "○","○","")</f>
        <v/>
      </c>
      <c r="Y9" s="14" t="str">
        <f>IF([1]New_Shift!X5 = "○","○","")</f>
        <v/>
      </c>
      <c r="Z9" s="14" t="str">
        <f>IF([1]New_Shift!Y5 = "○","○","")</f>
        <v/>
      </c>
      <c r="AA9" s="14" t="str">
        <f>IF([1]New_Shift!Z5 = "○","○","")</f>
        <v/>
      </c>
      <c r="AB9" s="14" t="str">
        <f>IF([1]New_Shift!AA5 = "○","○","")</f>
        <v/>
      </c>
      <c r="AC9" s="14" t="str">
        <f>IF([1]New_Shift!AB5 = "○","○","")</f>
        <v/>
      </c>
      <c r="AD9" s="14" t="str">
        <f>IF([1]New_Shift!AC5 = "○","○","")</f>
        <v/>
      </c>
      <c r="AE9" s="14" t="str">
        <f>IF([1]New_Shift!AD5 = "○","○","")</f>
        <v>○</v>
      </c>
      <c r="AF9" s="14" t="str">
        <f>IF([1]New_Shift!AE5 = "○","○","")</f>
        <v/>
      </c>
      <c r="AG9" s="10">
        <f t="shared" si="0"/>
        <v>5</v>
      </c>
    </row>
    <row r="10" spans="1:33">
      <c r="A10" s="10" t="s">
        <v>7</v>
      </c>
      <c r="B10" s="12" t="str">
        <f>IF(Sheet1!B10 = "◎","◎"," ")</f>
        <v xml:space="preserve"> </v>
      </c>
      <c r="C10" s="14" t="str">
        <f>IF([1]New_Shift!B6 = "○","○","")</f>
        <v/>
      </c>
      <c r="D10" s="14" t="str">
        <f>IF([1]New_Shift!C6 = "○","○","")</f>
        <v>○</v>
      </c>
      <c r="E10" s="14" t="str">
        <f>IF([1]New_Shift!D6 = "○","○","")</f>
        <v/>
      </c>
      <c r="F10" s="14" t="str">
        <f>IF([1]New_Shift!E6 = "○","○","")</f>
        <v/>
      </c>
      <c r="G10" s="14" t="str">
        <f>IF([1]New_Shift!F6 = "○","○","")</f>
        <v>○</v>
      </c>
      <c r="H10" s="14" t="str">
        <f>IF([1]New_Shift!G6 = "○","○","")</f>
        <v>○</v>
      </c>
      <c r="I10" s="14" t="str">
        <f>IF([1]New_Shift!H6 = "○","○","")</f>
        <v/>
      </c>
      <c r="J10" s="14" t="str">
        <f>IF([1]New_Shift!I6 = "○","○","")</f>
        <v/>
      </c>
      <c r="K10" s="14" t="str">
        <f>IF([1]New_Shift!J6 = "○","○","")</f>
        <v>○</v>
      </c>
      <c r="L10" s="14" t="str">
        <f>IF([1]New_Shift!K6 = "○","○","")</f>
        <v/>
      </c>
      <c r="M10" s="14" t="str">
        <f>IF([1]New_Shift!L6 = "○","○","")</f>
        <v/>
      </c>
      <c r="N10" s="14" t="str">
        <f>IF([1]New_Shift!M6 = "○","○","")</f>
        <v>○</v>
      </c>
      <c r="O10" s="14" t="str">
        <f>IF([1]New_Shift!N6 = "○","○","")</f>
        <v/>
      </c>
      <c r="P10" s="14" t="str">
        <f>IF([1]New_Shift!O6 = "○","○","")</f>
        <v/>
      </c>
      <c r="Q10" s="14" t="str">
        <f>IF([1]New_Shift!P6 = "○","○","")</f>
        <v/>
      </c>
      <c r="R10" s="14" t="str">
        <f>IF([1]New_Shift!Q6 = "○","○","")</f>
        <v/>
      </c>
      <c r="S10" s="14" t="str">
        <f>IF([1]New_Shift!R6 = "○","○","")</f>
        <v/>
      </c>
      <c r="T10" s="14" t="str">
        <f>IF([1]New_Shift!S6 = "○","○","")</f>
        <v>○</v>
      </c>
      <c r="U10" s="14" t="str">
        <f>IF([1]New_Shift!T6 = "○","○","")</f>
        <v/>
      </c>
      <c r="V10" s="14" t="str">
        <f>IF([1]New_Shift!U6 = "○","○","")</f>
        <v/>
      </c>
      <c r="W10" s="14" t="str">
        <f>IF([1]New_Shift!V6 = "○","○","")</f>
        <v/>
      </c>
      <c r="X10" s="14" t="str">
        <f>IF([1]New_Shift!W6 = "○","○","")</f>
        <v/>
      </c>
      <c r="Y10" s="14" t="str">
        <f>IF([1]New_Shift!X6 = "○","○","")</f>
        <v>○</v>
      </c>
      <c r="Z10" s="14" t="str">
        <f>IF([1]New_Shift!Y6 = "○","○","")</f>
        <v>○</v>
      </c>
      <c r="AA10" s="14" t="str">
        <f>IF([1]New_Shift!Z6 = "○","○","")</f>
        <v/>
      </c>
      <c r="AB10" s="14" t="str">
        <f>IF([1]New_Shift!AA6 = "○","○","")</f>
        <v/>
      </c>
      <c r="AC10" s="14" t="str">
        <f>IF([1]New_Shift!AB6 = "○","○","")</f>
        <v>○</v>
      </c>
      <c r="AD10" s="14" t="str">
        <f>IF([1]New_Shift!AC6 = "○","○","")</f>
        <v/>
      </c>
      <c r="AE10" s="14" t="str">
        <f>IF([1]New_Shift!AD6 = "○","○","")</f>
        <v/>
      </c>
      <c r="AF10" s="14" t="str">
        <f>IF([1]New_Shift!AE6 = "○","○","")</f>
        <v/>
      </c>
      <c r="AG10" s="10">
        <f t="shared" si="0"/>
        <v>9</v>
      </c>
    </row>
    <row r="11" spans="1:33">
      <c r="A11" s="10" t="s">
        <v>8</v>
      </c>
      <c r="B11" s="12" t="str">
        <f>IF(Sheet1!B11 = "◎","◎"," ")</f>
        <v xml:space="preserve"> </v>
      </c>
      <c r="C11" s="14" t="str">
        <f>IF([1]New_Shift!B7 = "○","○","")</f>
        <v/>
      </c>
      <c r="D11" s="14" t="str">
        <f>IF([1]New_Shift!C7 = "○","○","")</f>
        <v/>
      </c>
      <c r="E11" s="14" t="str">
        <f>IF([1]New_Shift!D7 = "○","○","")</f>
        <v>○</v>
      </c>
      <c r="F11" s="14" t="str">
        <f>IF([1]New_Shift!E7 = "○","○","")</f>
        <v/>
      </c>
      <c r="G11" s="14" t="str">
        <f>IF([1]New_Shift!F7 = "○","○","")</f>
        <v/>
      </c>
      <c r="H11" s="14" t="str">
        <f>IF([1]New_Shift!G7 = "○","○","")</f>
        <v>○</v>
      </c>
      <c r="I11" s="14" t="str">
        <f>IF([1]New_Shift!H7 = "○","○","")</f>
        <v>○</v>
      </c>
      <c r="J11" s="14" t="str">
        <f>IF([1]New_Shift!I7 = "○","○","")</f>
        <v>○</v>
      </c>
      <c r="K11" s="14" t="str">
        <f>IF([1]New_Shift!J7 = "○","○","")</f>
        <v/>
      </c>
      <c r="L11" s="14" t="str">
        <f>IF([1]New_Shift!K7 = "○","○","")</f>
        <v/>
      </c>
      <c r="M11" s="14" t="str">
        <f>IF([1]New_Shift!L7 = "○","○","")</f>
        <v>○</v>
      </c>
      <c r="N11" s="14" t="str">
        <f>IF([1]New_Shift!M7 = "○","○","")</f>
        <v/>
      </c>
      <c r="O11" s="14" t="str">
        <f>IF([1]New_Shift!N7 = "○","○","")</f>
        <v>○</v>
      </c>
      <c r="P11" s="14" t="str">
        <f>IF([1]New_Shift!O7 = "○","○","")</f>
        <v/>
      </c>
      <c r="Q11" s="14" t="str">
        <f>IF([1]New_Shift!P7 = "○","○","")</f>
        <v>○</v>
      </c>
      <c r="R11" s="14" t="str">
        <f>IF([1]New_Shift!Q7 = "○","○","")</f>
        <v/>
      </c>
      <c r="S11" s="14" t="str">
        <f>IF([1]New_Shift!R7 = "○","○","")</f>
        <v/>
      </c>
      <c r="T11" s="14" t="str">
        <f>IF([1]New_Shift!S7 = "○","○","")</f>
        <v/>
      </c>
      <c r="U11" s="14" t="str">
        <f>IF([1]New_Shift!T7 = "○","○","")</f>
        <v/>
      </c>
      <c r="V11" s="14" t="str">
        <f>IF([1]New_Shift!U7 = "○","○","")</f>
        <v/>
      </c>
      <c r="W11" s="14" t="str">
        <f>IF([1]New_Shift!V7 = "○","○","")</f>
        <v>○</v>
      </c>
      <c r="X11" s="14" t="str">
        <f>IF([1]New_Shift!W7 = "○","○","")</f>
        <v>○</v>
      </c>
      <c r="Y11" s="14" t="str">
        <f>IF([1]New_Shift!X7 = "○","○","")</f>
        <v/>
      </c>
      <c r="Z11" s="14" t="str">
        <f>IF([1]New_Shift!Y7 = "○","○","")</f>
        <v>○</v>
      </c>
      <c r="AA11" s="14" t="str">
        <f>IF([1]New_Shift!Z7 = "○","○","")</f>
        <v>○</v>
      </c>
      <c r="AB11" s="14" t="str">
        <f>IF([1]New_Shift!AA7 = "○","○","")</f>
        <v>○</v>
      </c>
      <c r="AC11" s="14" t="str">
        <f>IF([1]New_Shift!AB7 = "○","○","")</f>
        <v/>
      </c>
      <c r="AD11" s="14" t="str">
        <f>IF([1]New_Shift!AC7 = "○","○","")</f>
        <v/>
      </c>
      <c r="AE11" s="14" t="str">
        <f>IF([1]New_Shift!AD7 = "○","○","")</f>
        <v>○</v>
      </c>
      <c r="AF11" s="14" t="str">
        <f>IF([1]New_Shift!AE7 = "○","○","")</f>
        <v/>
      </c>
      <c r="AG11" s="10">
        <f t="shared" si="0"/>
        <v>13</v>
      </c>
    </row>
    <row r="12" spans="1:33">
      <c r="A12" s="10" t="s">
        <v>9</v>
      </c>
      <c r="B12" s="12" t="str">
        <f>IF(Sheet1!B12 = "◎","◎"," ")</f>
        <v xml:space="preserve"> </v>
      </c>
      <c r="C12" s="14" t="str">
        <f>IF([1]New_Shift!B8 = "○","○","")</f>
        <v/>
      </c>
      <c r="D12" s="14" t="str">
        <f>IF([1]New_Shift!C8 = "○","○","")</f>
        <v>○</v>
      </c>
      <c r="E12" s="14" t="str">
        <f>IF([1]New_Shift!D8 = "○","○","")</f>
        <v/>
      </c>
      <c r="F12" s="14" t="str">
        <f>IF([1]New_Shift!E8 = "○","○","")</f>
        <v/>
      </c>
      <c r="G12" s="14" t="str">
        <f>IF([1]New_Shift!F8 = "○","○","")</f>
        <v/>
      </c>
      <c r="H12" s="14" t="str">
        <f>IF([1]New_Shift!G8 = "○","○","")</f>
        <v/>
      </c>
      <c r="I12" s="14" t="str">
        <f>IF([1]New_Shift!H8 = "○","○","")</f>
        <v/>
      </c>
      <c r="J12" s="14" t="str">
        <f>IF([1]New_Shift!I8 = "○","○","")</f>
        <v/>
      </c>
      <c r="K12" s="14" t="str">
        <f>IF([1]New_Shift!J8 = "○","○","")</f>
        <v/>
      </c>
      <c r="L12" s="14" t="str">
        <f>IF([1]New_Shift!K8 = "○","○","")</f>
        <v/>
      </c>
      <c r="M12" s="14" t="str">
        <f>IF([1]New_Shift!L8 = "○","○","")</f>
        <v/>
      </c>
      <c r="N12" s="14" t="str">
        <f>IF([1]New_Shift!M8 = "○","○","")</f>
        <v/>
      </c>
      <c r="O12" s="14" t="str">
        <f>IF([1]New_Shift!N8 = "○","○","")</f>
        <v/>
      </c>
      <c r="P12" s="14" t="str">
        <f>IF([1]New_Shift!O8 = "○","○","")</f>
        <v/>
      </c>
      <c r="Q12" s="14" t="str">
        <f>IF([1]New_Shift!P8 = "○","○","")</f>
        <v/>
      </c>
      <c r="R12" s="14" t="str">
        <f>IF([1]New_Shift!Q8 = "○","○","")</f>
        <v>○</v>
      </c>
      <c r="S12" s="14" t="str">
        <f>IF([1]New_Shift!R8 = "○","○","")</f>
        <v>○</v>
      </c>
      <c r="T12" s="14" t="str">
        <f>IF([1]New_Shift!S8 = "○","○","")</f>
        <v/>
      </c>
      <c r="U12" s="14" t="str">
        <f>IF([1]New_Shift!T8 = "○","○","")</f>
        <v/>
      </c>
      <c r="V12" s="14" t="str">
        <f>IF([1]New_Shift!U8 = "○","○","")</f>
        <v>○</v>
      </c>
      <c r="W12" s="14" t="str">
        <f>IF([1]New_Shift!V8 = "○","○","")</f>
        <v/>
      </c>
      <c r="X12" s="14" t="str">
        <f>IF([1]New_Shift!W8 = "○","○","")</f>
        <v>○</v>
      </c>
      <c r="Y12" s="14" t="str">
        <f>IF([1]New_Shift!X8 = "○","○","")</f>
        <v>○</v>
      </c>
      <c r="Z12" s="14" t="str">
        <f>IF([1]New_Shift!Y8 = "○","○","")</f>
        <v/>
      </c>
      <c r="AA12" s="14" t="str">
        <f>IF([1]New_Shift!Z8 = "○","○","")</f>
        <v>○</v>
      </c>
      <c r="AB12" s="14" t="str">
        <f>IF([1]New_Shift!AA8 = "○","○","")</f>
        <v>○</v>
      </c>
      <c r="AC12" s="14" t="str">
        <f>IF([1]New_Shift!AB8 = "○","○","")</f>
        <v/>
      </c>
      <c r="AD12" s="14" t="str">
        <f>IF([1]New_Shift!AC8 = "○","○","")</f>
        <v/>
      </c>
      <c r="AE12" s="14" t="str">
        <f>IF([1]New_Shift!AD8 = "○","○","")</f>
        <v/>
      </c>
      <c r="AF12" s="14" t="str">
        <f>IF([1]New_Shift!AE8 = "○","○","")</f>
        <v/>
      </c>
      <c r="AG12" s="10">
        <f t="shared" si="0"/>
        <v>8</v>
      </c>
    </row>
    <row r="13" spans="1:33">
      <c r="A13" s="10" t="s">
        <v>10</v>
      </c>
      <c r="B13" s="12" t="str">
        <f>IF(Sheet1!B13 = "◎","◎"," ")</f>
        <v xml:space="preserve"> </v>
      </c>
      <c r="C13" s="14" t="str">
        <f>IF([1]New_Shift!B9 = "○","○","")</f>
        <v/>
      </c>
      <c r="D13" s="14" t="str">
        <f>IF([1]New_Shift!C9 = "○","○","")</f>
        <v/>
      </c>
      <c r="E13" s="14" t="str">
        <f>IF([1]New_Shift!D9 = "○","○","")</f>
        <v/>
      </c>
      <c r="F13" s="14" t="str">
        <f>IF([1]New_Shift!E9 = "○","○","")</f>
        <v/>
      </c>
      <c r="G13" s="14" t="str">
        <f>IF([1]New_Shift!F9 = "○","○","")</f>
        <v/>
      </c>
      <c r="H13" s="14" t="str">
        <f>IF([1]New_Shift!G9 = "○","○","")</f>
        <v/>
      </c>
      <c r="I13" s="14" t="str">
        <f>IF([1]New_Shift!H9 = "○","○","")</f>
        <v/>
      </c>
      <c r="J13" s="14" t="str">
        <f>IF([1]New_Shift!I9 = "○","○","")</f>
        <v>○</v>
      </c>
      <c r="K13" s="14" t="str">
        <f>IF([1]New_Shift!J9 = "○","○","")</f>
        <v/>
      </c>
      <c r="L13" s="14" t="str">
        <f>IF([1]New_Shift!K9 = "○","○","")</f>
        <v/>
      </c>
      <c r="M13" s="14" t="str">
        <f>IF([1]New_Shift!L9 = "○","○","")</f>
        <v>○</v>
      </c>
      <c r="N13" s="14" t="str">
        <f>IF([1]New_Shift!M9 = "○","○","")</f>
        <v/>
      </c>
      <c r="O13" s="14" t="str">
        <f>IF([1]New_Shift!N9 = "○","○","")</f>
        <v/>
      </c>
      <c r="P13" s="14" t="str">
        <f>IF([1]New_Shift!O9 = "○","○","")</f>
        <v>○</v>
      </c>
      <c r="Q13" s="14" t="str">
        <f>IF([1]New_Shift!P9 = "○","○","")</f>
        <v/>
      </c>
      <c r="R13" s="14" t="str">
        <f>IF([1]New_Shift!Q9 = "○","○","")</f>
        <v/>
      </c>
      <c r="S13" s="14" t="str">
        <f>IF([1]New_Shift!R9 = "○","○","")</f>
        <v>○</v>
      </c>
      <c r="T13" s="14" t="str">
        <f>IF([1]New_Shift!S9 = "○","○","")</f>
        <v/>
      </c>
      <c r="U13" s="14" t="str">
        <f>IF([1]New_Shift!T9 = "○","○","")</f>
        <v/>
      </c>
      <c r="V13" s="14" t="str">
        <f>IF([1]New_Shift!U9 = "○","○","")</f>
        <v>○</v>
      </c>
      <c r="W13" s="14" t="str">
        <f>IF([1]New_Shift!V9 = "○","○","")</f>
        <v>○</v>
      </c>
      <c r="X13" s="14" t="str">
        <f>IF([1]New_Shift!W9 = "○","○","")</f>
        <v/>
      </c>
      <c r="Y13" s="14" t="str">
        <f>IF([1]New_Shift!X9 = "○","○","")</f>
        <v/>
      </c>
      <c r="Z13" s="14" t="str">
        <f>IF([1]New_Shift!Y9 = "○","○","")</f>
        <v/>
      </c>
      <c r="AA13" s="14" t="str">
        <f>IF([1]New_Shift!Z9 = "○","○","")</f>
        <v>○</v>
      </c>
      <c r="AB13" s="14" t="str">
        <f>IF([1]New_Shift!AA9 = "○","○","")</f>
        <v>○</v>
      </c>
      <c r="AC13" s="14" t="str">
        <f>IF([1]New_Shift!AB9 = "○","○","")</f>
        <v/>
      </c>
      <c r="AD13" s="14" t="str">
        <f>IF([1]New_Shift!AC9 = "○","○","")</f>
        <v/>
      </c>
      <c r="AE13" s="14" t="str">
        <f>IF([1]New_Shift!AD9 = "○","○","")</f>
        <v/>
      </c>
      <c r="AF13" s="14" t="str">
        <f>IF([1]New_Shift!AE9 = "○","○","")</f>
        <v/>
      </c>
      <c r="AG13" s="10">
        <f t="shared" si="0"/>
        <v>8</v>
      </c>
    </row>
    <row r="14" spans="1:33">
      <c r="A14" s="10" t="s">
        <v>11</v>
      </c>
      <c r="B14" s="12" t="str">
        <f>IF(Sheet1!B14 = "◎","◎"," ")</f>
        <v xml:space="preserve"> </v>
      </c>
      <c r="C14" s="14" t="str">
        <f>IF([1]New_Shift!B10 = "○","○","")</f>
        <v/>
      </c>
      <c r="D14" s="14" t="str">
        <f>IF([1]New_Shift!C10 = "○","○","")</f>
        <v/>
      </c>
      <c r="E14" s="14" t="str">
        <f>IF([1]New_Shift!D10 = "○","○","")</f>
        <v/>
      </c>
      <c r="F14" s="14" t="str">
        <f>IF([1]New_Shift!E10 = "○","○","")</f>
        <v/>
      </c>
      <c r="G14" s="14" t="str">
        <f>IF([1]New_Shift!F10 = "○","○","")</f>
        <v>○</v>
      </c>
      <c r="H14" s="14" t="str">
        <f>IF([1]New_Shift!G10 = "○","○","")</f>
        <v/>
      </c>
      <c r="I14" s="14" t="str">
        <f>IF([1]New_Shift!H10 = "○","○","")</f>
        <v/>
      </c>
      <c r="J14" s="14" t="str">
        <f>IF([1]New_Shift!I10 = "○","○","")</f>
        <v/>
      </c>
      <c r="K14" s="14" t="str">
        <f>IF([1]New_Shift!J10 = "○","○","")</f>
        <v>○</v>
      </c>
      <c r="L14" s="14" t="str">
        <f>IF([1]New_Shift!K10 = "○","○","")</f>
        <v/>
      </c>
      <c r="M14" s="14" t="str">
        <f>IF([1]New_Shift!L10 = "○","○","")</f>
        <v/>
      </c>
      <c r="N14" s="14" t="str">
        <f>IF([1]New_Shift!M10 = "○","○","")</f>
        <v>○</v>
      </c>
      <c r="O14" s="14" t="str">
        <f>IF([1]New_Shift!N10 = "○","○","")</f>
        <v/>
      </c>
      <c r="P14" s="14" t="str">
        <f>IF([1]New_Shift!O10 = "○","○","")</f>
        <v/>
      </c>
      <c r="Q14" s="14" t="str">
        <f>IF([1]New_Shift!P10 = "○","○","")</f>
        <v>○</v>
      </c>
      <c r="R14" s="14" t="str">
        <f>IF([1]New_Shift!Q10 = "○","○","")</f>
        <v/>
      </c>
      <c r="S14" s="14" t="str">
        <f>IF([1]New_Shift!R10 = "○","○","")</f>
        <v/>
      </c>
      <c r="T14" s="14" t="str">
        <f>IF([1]New_Shift!S10 = "○","○","")</f>
        <v>○</v>
      </c>
      <c r="U14" s="14" t="str">
        <f>IF([1]New_Shift!T10 = "○","○","")</f>
        <v/>
      </c>
      <c r="V14" s="14" t="str">
        <f>IF([1]New_Shift!U10 = "○","○","")</f>
        <v/>
      </c>
      <c r="W14" s="14" t="str">
        <f>IF([1]New_Shift!V10 = "○","○","")</f>
        <v/>
      </c>
      <c r="X14" s="14" t="str">
        <f>IF([1]New_Shift!W10 = "○","○","")</f>
        <v/>
      </c>
      <c r="Y14" s="14" t="str">
        <f>IF([1]New_Shift!X10 = "○","○","")</f>
        <v>○</v>
      </c>
      <c r="Z14" s="14" t="str">
        <f>IF([1]New_Shift!Y10 = "○","○","")</f>
        <v>○</v>
      </c>
      <c r="AA14" s="14" t="str">
        <f>IF([1]New_Shift!Z10 = "○","○","")</f>
        <v/>
      </c>
      <c r="AB14" s="14" t="str">
        <f>IF([1]New_Shift!AA10 = "○","○","")</f>
        <v/>
      </c>
      <c r="AC14" s="14" t="str">
        <f>IF([1]New_Shift!AB10 = "○","○","")</f>
        <v/>
      </c>
      <c r="AD14" s="14" t="str">
        <f>IF([1]New_Shift!AC10 = "○","○","")</f>
        <v>○</v>
      </c>
      <c r="AE14" s="14" t="str">
        <f>IF([1]New_Shift!AD10 = "○","○","")</f>
        <v/>
      </c>
      <c r="AF14" s="14" t="str">
        <f>IF([1]New_Shift!AE10 = "○","○","")</f>
        <v>○</v>
      </c>
      <c r="AG14" s="10">
        <f t="shared" si="0"/>
        <v>9</v>
      </c>
    </row>
    <row r="15" spans="1:33">
      <c r="A15" s="10" t="s">
        <v>12</v>
      </c>
      <c r="B15" s="12" t="str">
        <f>IF(Sheet1!B15 = "◎","◎"," ")</f>
        <v xml:space="preserve"> </v>
      </c>
      <c r="C15" s="14" t="str">
        <f>IF([1]New_Shift!B11 = "○","○","")</f>
        <v/>
      </c>
      <c r="D15" s="14" t="str">
        <f>IF([1]New_Shift!C11 = "○","○","")</f>
        <v/>
      </c>
      <c r="E15" s="14" t="str">
        <f>IF([1]New_Shift!D11 = "○","○","")</f>
        <v/>
      </c>
      <c r="F15" s="14" t="str">
        <f>IF([1]New_Shift!E11 = "○","○","")</f>
        <v/>
      </c>
      <c r="G15" s="14" t="str">
        <f>IF([1]New_Shift!F11 = "○","○","")</f>
        <v/>
      </c>
      <c r="H15" s="14" t="str">
        <f>IF([1]New_Shift!G11 = "○","○","")</f>
        <v/>
      </c>
      <c r="I15" s="14" t="str">
        <f>IF([1]New_Shift!H11 = "○","○","")</f>
        <v/>
      </c>
      <c r="J15" s="14" t="str">
        <f>IF([1]New_Shift!I11 = "○","○","")</f>
        <v/>
      </c>
      <c r="K15" s="14" t="str">
        <f>IF([1]New_Shift!J11 = "○","○","")</f>
        <v/>
      </c>
      <c r="L15" s="14" t="str">
        <f>IF([1]New_Shift!K11 = "○","○","")</f>
        <v>○</v>
      </c>
      <c r="M15" s="14" t="str">
        <f>IF([1]New_Shift!L11 = "○","○","")</f>
        <v/>
      </c>
      <c r="N15" s="14" t="str">
        <f>IF([1]New_Shift!M11 = "○","○","")</f>
        <v/>
      </c>
      <c r="O15" s="14" t="str">
        <f>IF([1]New_Shift!N11 = "○","○","")</f>
        <v/>
      </c>
      <c r="P15" s="14" t="str">
        <f>IF([1]New_Shift!O11 = "○","○","")</f>
        <v>○</v>
      </c>
      <c r="Q15" s="14" t="str">
        <f>IF([1]New_Shift!P11 = "○","○","")</f>
        <v/>
      </c>
      <c r="R15" s="14" t="str">
        <f>IF([1]New_Shift!Q11 = "○","○","")</f>
        <v/>
      </c>
      <c r="S15" s="14" t="str">
        <f>IF([1]New_Shift!R11 = "○","○","")</f>
        <v>○</v>
      </c>
      <c r="T15" s="14" t="str">
        <f>IF([1]New_Shift!S11 = "○","○","")</f>
        <v>○</v>
      </c>
      <c r="U15" s="14" t="str">
        <f>IF([1]New_Shift!T11 = "○","○","")</f>
        <v>○</v>
      </c>
      <c r="V15" s="14" t="str">
        <f>IF([1]New_Shift!U11 = "○","○","")</f>
        <v>○</v>
      </c>
      <c r="W15" s="14" t="str">
        <f>IF([1]New_Shift!V11 = "○","○","")</f>
        <v>○</v>
      </c>
      <c r="X15" s="14" t="str">
        <f>IF([1]New_Shift!W11 = "○","○","")</f>
        <v>○</v>
      </c>
      <c r="Y15" s="14" t="str">
        <f>IF([1]New_Shift!X11 = "○","○","")</f>
        <v/>
      </c>
      <c r="Z15" s="14" t="str">
        <f>IF([1]New_Shift!Y11 = "○","○","")</f>
        <v/>
      </c>
      <c r="AA15" s="14" t="str">
        <f>IF([1]New_Shift!Z11 = "○","○","")</f>
        <v/>
      </c>
      <c r="AB15" s="14" t="str">
        <f>IF([1]New_Shift!AA11 = "○","○","")</f>
        <v/>
      </c>
      <c r="AC15" s="14" t="str">
        <f>IF([1]New_Shift!AB11 = "○","○","")</f>
        <v>○</v>
      </c>
      <c r="AD15" s="14" t="str">
        <f>IF([1]New_Shift!AC11 = "○","○","")</f>
        <v>○</v>
      </c>
      <c r="AE15" s="14" t="str">
        <f>IF([1]New_Shift!AD11 = "○","○","")</f>
        <v/>
      </c>
      <c r="AF15" s="14" t="str">
        <f>IF([1]New_Shift!AE11 = "○","○","")</f>
        <v>○</v>
      </c>
      <c r="AG15" s="10">
        <f t="shared" si="0"/>
        <v>11</v>
      </c>
    </row>
    <row r="16" spans="1:33">
      <c r="A16" s="16"/>
      <c r="B16" s="9" t="s">
        <v>13</v>
      </c>
      <c r="C16" s="10">
        <f>Sheet1!C16</f>
        <v>2</v>
      </c>
      <c r="D16" s="10">
        <f>Sheet1!D16</f>
        <v>3</v>
      </c>
      <c r="E16" s="10">
        <f>Sheet1!E16</f>
        <v>3</v>
      </c>
      <c r="F16" s="10">
        <f>Sheet1!F16</f>
        <v>2</v>
      </c>
      <c r="G16" s="10">
        <f>Sheet1!G16</f>
        <v>3</v>
      </c>
      <c r="H16" s="10">
        <f>Sheet1!H16</f>
        <v>3</v>
      </c>
      <c r="I16" s="10">
        <f>Sheet1!I16</f>
        <v>2</v>
      </c>
      <c r="J16" s="10">
        <f>Sheet1!J16</f>
        <v>3</v>
      </c>
      <c r="K16" s="10">
        <f>Sheet1!K16</f>
        <v>3</v>
      </c>
      <c r="L16" s="10">
        <f>Sheet1!L16</f>
        <v>2</v>
      </c>
      <c r="M16" s="10">
        <f>Sheet1!M16</f>
        <v>2</v>
      </c>
      <c r="N16" s="10">
        <f>Sheet1!N16</f>
        <v>2</v>
      </c>
      <c r="O16" s="10">
        <f>Sheet1!O16</f>
        <v>2</v>
      </c>
      <c r="P16" s="10">
        <f>Sheet1!P16</f>
        <v>3</v>
      </c>
      <c r="Q16" s="10">
        <f>Sheet1!Q16</f>
        <v>3</v>
      </c>
      <c r="R16" s="10">
        <f>Sheet1!R16</f>
        <v>2</v>
      </c>
      <c r="S16" s="10">
        <f>Sheet1!S16</f>
        <v>4</v>
      </c>
      <c r="T16" s="10">
        <f>Sheet1!T16</f>
        <v>4</v>
      </c>
      <c r="U16" s="10">
        <f>Sheet1!U16</f>
        <v>2</v>
      </c>
      <c r="V16" s="10">
        <f>Sheet1!V16</f>
        <v>4</v>
      </c>
      <c r="W16" s="10">
        <f>Sheet1!W16</f>
        <v>4</v>
      </c>
      <c r="X16" s="10">
        <f>Sheet1!X16</f>
        <v>4</v>
      </c>
      <c r="Y16" s="10">
        <f>Sheet1!Y16</f>
        <v>4</v>
      </c>
      <c r="Z16" s="10">
        <f>Sheet1!Z16</f>
        <v>4</v>
      </c>
      <c r="AA16" s="10">
        <f>Sheet1!AA16</f>
        <v>4</v>
      </c>
      <c r="AB16" s="10">
        <f>Sheet1!AB16</f>
        <v>4</v>
      </c>
      <c r="AC16" s="10">
        <f>Sheet1!AC16</f>
        <v>3</v>
      </c>
      <c r="AD16" s="10">
        <f>Sheet1!AD16</f>
        <v>3</v>
      </c>
      <c r="AE16" s="10">
        <f>Sheet1!AE16</f>
        <v>3</v>
      </c>
      <c r="AF16" s="10">
        <f>Sheet1!AF16</f>
        <v>3</v>
      </c>
    </row>
    <row r="17" spans="1:32">
      <c r="A17" s="6"/>
      <c r="B17" s="7" t="s">
        <v>14</v>
      </c>
      <c r="C17" s="10">
        <f>COUNTIF(C6:C15,"○")</f>
        <v>2</v>
      </c>
      <c r="D17" s="10">
        <f>COUNTIF(D6:D15,"○")</f>
        <v>3</v>
      </c>
      <c r="E17" s="10">
        <f t="shared" ref="E17:AF17" si="1">COUNTIF(E6:E15,"○")</f>
        <v>3</v>
      </c>
      <c r="F17" s="10">
        <f t="shared" si="1"/>
        <v>2</v>
      </c>
      <c r="G17" s="10">
        <f t="shared" si="1"/>
        <v>3</v>
      </c>
      <c r="H17" s="10">
        <f t="shared" si="1"/>
        <v>3</v>
      </c>
      <c r="I17" s="10">
        <f t="shared" si="1"/>
        <v>2</v>
      </c>
      <c r="J17" s="10">
        <f t="shared" si="1"/>
        <v>3</v>
      </c>
      <c r="K17" s="10">
        <f t="shared" si="1"/>
        <v>3</v>
      </c>
      <c r="L17" s="10">
        <f t="shared" si="1"/>
        <v>2</v>
      </c>
      <c r="M17" s="10">
        <f t="shared" si="1"/>
        <v>2</v>
      </c>
      <c r="N17" s="10">
        <f t="shared" si="1"/>
        <v>2</v>
      </c>
      <c r="O17" s="10">
        <f t="shared" si="1"/>
        <v>2</v>
      </c>
      <c r="P17" s="10">
        <f t="shared" si="1"/>
        <v>3</v>
      </c>
      <c r="Q17" s="10">
        <f t="shared" si="1"/>
        <v>3</v>
      </c>
      <c r="R17" s="10">
        <f t="shared" si="1"/>
        <v>2</v>
      </c>
      <c r="S17" s="10">
        <f t="shared" si="1"/>
        <v>4</v>
      </c>
      <c r="T17" s="10">
        <f t="shared" si="1"/>
        <v>4</v>
      </c>
      <c r="U17" s="10">
        <f t="shared" si="1"/>
        <v>2</v>
      </c>
      <c r="V17" s="10">
        <f t="shared" si="1"/>
        <v>4</v>
      </c>
      <c r="W17" s="10">
        <f t="shared" si="1"/>
        <v>4</v>
      </c>
      <c r="X17" s="10">
        <f t="shared" si="1"/>
        <v>4</v>
      </c>
      <c r="Y17" s="10">
        <f t="shared" si="1"/>
        <v>4</v>
      </c>
      <c r="Z17" s="10">
        <f t="shared" si="1"/>
        <v>4</v>
      </c>
      <c r="AA17" s="10">
        <f t="shared" si="1"/>
        <v>4</v>
      </c>
      <c r="AB17" s="10">
        <f t="shared" si="1"/>
        <v>4</v>
      </c>
      <c r="AC17" s="10">
        <f t="shared" si="1"/>
        <v>3</v>
      </c>
      <c r="AD17" s="10">
        <f t="shared" si="1"/>
        <v>3</v>
      </c>
      <c r="AE17" s="10">
        <f t="shared" si="1"/>
        <v>3</v>
      </c>
      <c r="AF17" s="10">
        <f t="shared" si="1"/>
        <v>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最終シフト表</vt:lpstr>
      <vt:lpstr>new_Shift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2021-02-01T12:08:05Z</dcterms:created>
  <dcterms:modified xsi:type="dcterms:W3CDTF">2021-02-03T03:48:22Z</dcterms:modified>
</cp:coreProperties>
</file>